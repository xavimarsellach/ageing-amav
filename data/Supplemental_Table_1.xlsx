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francesc/Library/CloudStorage/SynologyDrive-Docs/1-Feina/3-Home_work/16-Sant_Tornem'-hi_2025/9-Ageing_is_not_just-ageing_AMAV_Data_Recalculation/"/>
    </mc:Choice>
  </mc:AlternateContent>
  <xr:revisionPtr revIDLastSave="0" documentId="13_ncr:1_{FEA2E17B-0C75-3C40-9EDD-E3FDDE2BCD41}" xr6:coauthVersionLast="47" xr6:coauthVersionMax="47" xr10:uidLastSave="{00000000-0000-0000-0000-000000000000}"/>
  <bookViews>
    <workbookView xWindow="0" yWindow="860" windowWidth="34200" windowHeight="20600" xr2:uid="{7C381879-DC1D-7A41-A720-5E55E2B29FE0}"/>
  </bookViews>
  <sheets>
    <sheet name="Hoja1" sheetId="1" r:id="rId1"/>
    <sheet name="Multiple Sele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259" i="1" l="1"/>
  <c r="BU1259" i="1"/>
  <c r="CD1258" i="1"/>
  <c r="BU1258" i="1"/>
  <c r="CC1254" i="1"/>
  <c r="CB1254" i="1"/>
  <c r="CA1254" i="1"/>
  <c r="BZ1254" i="1"/>
  <c r="BY1254" i="1"/>
  <c r="BX1254" i="1"/>
  <c r="BW1254" i="1"/>
  <c r="BV1254" i="1"/>
  <c r="BU1254" i="1"/>
  <c r="BT1254" i="1"/>
  <c r="BS1254" i="1"/>
  <c r="BR1254" i="1"/>
  <c r="BQ1254" i="1"/>
  <c r="BP1254" i="1"/>
  <c r="BO1254" i="1"/>
  <c r="BN1254" i="1"/>
  <c r="BM1254" i="1"/>
  <c r="BL1254" i="1"/>
  <c r="BK1254" i="1"/>
  <c r="CB1253" i="1"/>
  <c r="BV1253" i="1"/>
  <c r="CB1252" i="1"/>
  <c r="BV1252" i="1"/>
  <c r="CB1251" i="1"/>
  <c r="BV1251" i="1"/>
  <c r="CB1250" i="1"/>
  <c r="BV1250" i="1"/>
  <c r="BZ1247" i="1"/>
  <c r="BA1247" i="1"/>
  <c r="BZ1246" i="1"/>
  <c r="BA1246" i="1"/>
  <c r="BZ1245" i="1"/>
  <c r="BY1245" i="1"/>
  <c r="BX1245" i="1"/>
  <c r="BW1245" i="1"/>
  <c r="BV1245" i="1"/>
  <c r="BU1245" i="1"/>
  <c r="BT1245" i="1"/>
  <c r="BS1245" i="1"/>
  <c r="BR1245" i="1"/>
  <c r="BW1244" i="1"/>
  <c r="BT1244" i="1"/>
  <c r="BR1244" i="1"/>
  <c r="CA1243" i="1"/>
  <c r="BZ1243" i="1"/>
  <c r="BY1243" i="1"/>
  <c r="BX1243" i="1"/>
  <c r="BW1243" i="1"/>
  <c r="BV1243" i="1"/>
  <c r="BU1243" i="1"/>
  <c r="BT1243" i="1"/>
  <c r="BS1243" i="1"/>
  <c r="BR1243" i="1"/>
  <c r="BQ1243" i="1"/>
  <c r="BY1242" i="1"/>
  <c r="BX1242" i="1"/>
  <c r="BU1242" i="1"/>
  <c r="BZ1241" i="1"/>
  <c r="BY1241" i="1"/>
  <c r="BY1240" i="1"/>
  <c r="BQ1240" i="1"/>
  <c r="CC1238" i="1"/>
  <c r="BO1238" i="1"/>
  <c r="CC1237" i="1"/>
  <c r="BT1237" i="1"/>
  <c r="BK1237" i="1"/>
  <c r="CC1236" i="1"/>
  <c r="BK1236" i="1"/>
  <c r="CE1235" i="1"/>
  <c r="BV1235" i="1"/>
  <c r="CG1234" i="1"/>
  <c r="CF1234" i="1"/>
  <c r="CE1234" i="1"/>
  <c r="CD1234" i="1"/>
  <c r="CC1234" i="1"/>
  <c r="CB1234" i="1"/>
  <c r="CA1234" i="1"/>
  <c r="BZ1234" i="1"/>
  <c r="BY1234" i="1"/>
  <c r="BX1234" i="1"/>
  <c r="BW1234" i="1"/>
  <c r="BV1234" i="1"/>
  <c r="BU1234" i="1"/>
  <c r="BT1234" i="1"/>
  <c r="BS1234" i="1"/>
  <c r="BR1234" i="1"/>
  <c r="BQ1234" i="1"/>
  <c r="BP1234" i="1"/>
  <c r="BO1234" i="1"/>
  <c r="CD1233" i="1"/>
  <c r="BF1233" i="1"/>
  <c r="CE1232" i="1"/>
  <c r="AX1232" i="1"/>
  <c r="CE1231" i="1"/>
  <c r="AX1231" i="1"/>
  <c r="CG1230" i="1"/>
  <c r="BV1230" i="1"/>
  <c r="CE1229" i="1"/>
  <c r="BZ1229" i="1"/>
  <c r="CE1228" i="1"/>
  <c r="BZ1228" i="1"/>
  <c r="BY1227" i="1"/>
  <c r="BT1227" i="1"/>
  <c r="BO1227" i="1"/>
  <c r="CA1226" i="1"/>
  <c r="BN1226" i="1"/>
  <c r="BH1226" i="1"/>
  <c r="BA1226" i="1"/>
  <c r="AP1226" i="1"/>
  <c r="CA1225" i="1"/>
  <c r="BN1225" i="1"/>
  <c r="BH1225" i="1"/>
  <c r="BA1225" i="1"/>
  <c r="AP1225" i="1"/>
  <c r="CA1224" i="1"/>
  <c r="AR1224" i="1"/>
  <c r="CA1223" i="1"/>
  <c r="BQ1223" i="1"/>
  <c r="BH1223" i="1"/>
  <c r="AW1223" i="1"/>
  <c r="AR1223" i="1"/>
  <c r="CC1222" i="1"/>
  <c r="AR1222" i="1"/>
  <c r="CD1221" i="1"/>
  <c r="CC1221" i="1"/>
  <c r="CB1220" i="1"/>
  <c r="AR1220" i="1"/>
  <c r="CC1219" i="1"/>
  <c r="CB1219" i="1"/>
  <c r="CA1219" i="1"/>
  <c r="BZ1219" i="1"/>
  <c r="BY1219" i="1"/>
  <c r="BX1219" i="1"/>
  <c r="BW1219" i="1"/>
  <c r="BV1219" i="1"/>
  <c r="BU1219" i="1"/>
  <c r="BT1219" i="1"/>
  <c r="BY1218" i="1"/>
  <c r="BS1218" i="1"/>
  <c r="BZ1217" i="1"/>
  <c r="BG1217" i="1"/>
  <c r="CA1216" i="1"/>
  <c r="AQ1216" i="1"/>
  <c r="CA1215" i="1"/>
  <c r="AQ1215" i="1"/>
  <c r="CA1214" i="1"/>
  <c r="BQ1214" i="1"/>
  <c r="CA1213" i="1"/>
  <c r="BZ1213" i="1"/>
  <c r="BY1213" i="1"/>
  <c r="BX1213" i="1"/>
  <c r="BW1213" i="1"/>
  <c r="BZ1212" i="1"/>
  <c r="BM1212" i="1"/>
  <c r="BZ1211" i="1"/>
  <c r="BM1211" i="1"/>
  <c r="BZ1210" i="1"/>
  <c r="BM1210" i="1"/>
  <c r="BZ1209" i="1"/>
  <c r="BM1209" i="1"/>
  <c r="BY1208" i="1"/>
  <c r="BX1208" i="1"/>
  <c r="BW1208" i="1"/>
  <c r="BV1208" i="1"/>
  <c r="BU1208" i="1"/>
  <c r="BT1208" i="1"/>
  <c r="BS1208" i="1"/>
  <c r="BR1208" i="1"/>
  <c r="BQ1208" i="1"/>
  <c r="BP1208" i="1"/>
  <c r="BO1208" i="1"/>
  <c r="BY1207" i="1"/>
  <c r="BX1207" i="1"/>
  <c r="BW1207" i="1"/>
  <c r="BV1207" i="1"/>
  <c r="BU1207" i="1"/>
  <c r="BT1207" i="1"/>
  <c r="BS1207" i="1"/>
  <c r="BR1207" i="1"/>
  <c r="BQ1207" i="1"/>
  <c r="BP1207" i="1"/>
  <c r="BO1207" i="1"/>
  <c r="CA1206" i="1"/>
  <c r="BH1206" i="1"/>
  <c r="BZ1205" i="1"/>
  <c r="BD1205" i="1"/>
  <c r="BT1204" i="1"/>
  <c r="BJ1204" i="1"/>
  <c r="AG1204" i="1"/>
  <c r="BY1203" i="1"/>
  <c r="BJ1203" i="1"/>
  <c r="BV1202" i="1"/>
  <c r="BI1202" i="1"/>
  <c r="BV1201" i="1"/>
  <c r="BI1201" i="1"/>
  <c r="BM1200" i="1"/>
  <c r="AQ1200" i="1"/>
  <c r="BP1199" i="1"/>
  <c r="AW1199" i="1"/>
  <c r="BP1198" i="1"/>
  <c r="AW1198" i="1"/>
  <c r="BM1197" i="1"/>
  <c r="BD1197" i="1"/>
  <c r="BM1196" i="1"/>
  <c r="BG1196" i="1"/>
  <c r="BF1196" i="1"/>
  <c r="BE1196" i="1"/>
  <c r="AJ1196" i="1"/>
  <c r="AH1196" i="1"/>
  <c r="AE1196" i="1"/>
  <c r="Z1196" i="1"/>
  <c r="R1196" i="1"/>
  <c r="P1196" i="1"/>
  <c r="BJ1195" i="1"/>
  <c r="BE1195" i="1"/>
  <c r="AU1195" i="1"/>
  <c r="BJ1194" i="1"/>
  <c r="BE1194" i="1"/>
  <c r="AU1194" i="1"/>
  <c r="BJ1193" i="1"/>
  <c r="BE1193" i="1"/>
  <c r="AU1193" i="1"/>
  <c r="BJ1192" i="1"/>
  <c r="BE1192" i="1"/>
  <c r="AU1192" i="1"/>
  <c r="BE1191" i="1"/>
  <c r="AU1191" i="1"/>
  <c r="BE1190" i="1"/>
  <c r="AU1190" i="1"/>
  <c r="BJ1189" i="1"/>
  <c r="BE1189" i="1"/>
  <c r="AU1189" i="1"/>
  <c r="BJ1188" i="1"/>
  <c r="BE1188" i="1"/>
  <c r="AU1188" i="1"/>
  <c r="BJ1187" i="1"/>
  <c r="BE1187" i="1"/>
  <c r="AU1187" i="1"/>
  <c r="BJ1186" i="1"/>
  <c r="BE1186" i="1"/>
  <c r="AU1186" i="1"/>
  <c r="BJ1185" i="1"/>
  <c r="BE1185" i="1"/>
  <c r="AU1185" i="1"/>
  <c r="BJ1184" i="1"/>
  <c r="BE1184" i="1"/>
  <c r="AU1184" i="1"/>
  <c r="BJ1183" i="1"/>
  <c r="BE1183" i="1"/>
  <c r="AU1183" i="1"/>
  <c r="BJ1182" i="1"/>
  <c r="BE1182" i="1"/>
  <c r="AU1182" i="1"/>
  <c r="BJ1181" i="1"/>
  <c r="BE1181" i="1"/>
  <c r="AU1181" i="1"/>
  <c r="BJ1180" i="1"/>
  <c r="BE1180" i="1"/>
  <c r="AU1180" i="1"/>
  <c r="BJ1179" i="1"/>
  <c r="BE1179" i="1"/>
  <c r="AU1179" i="1"/>
  <c r="BJ1178" i="1"/>
  <c r="BE1178" i="1"/>
  <c r="AU1178" i="1"/>
  <c r="BJ1177" i="1"/>
  <c r="BE1177" i="1"/>
  <c r="AU1177" i="1"/>
  <c r="BJ1176" i="1"/>
  <c r="BE1176" i="1"/>
  <c r="AU1176" i="1"/>
  <c r="BJ1175" i="1"/>
  <c r="BE1175" i="1"/>
  <c r="AU1175" i="1"/>
  <c r="BJ1174" i="1"/>
  <c r="BE1174" i="1"/>
  <c r="AU1174" i="1"/>
  <c r="BJ1173" i="1"/>
  <c r="BE1173" i="1"/>
  <c r="AU1173" i="1"/>
  <c r="BJ1172" i="1"/>
  <c r="BE1172" i="1"/>
  <c r="AU1172" i="1"/>
  <c r="BJ1171" i="1"/>
  <c r="BE1171" i="1"/>
  <c r="AU1171" i="1"/>
  <c r="BJ1170" i="1"/>
  <c r="BE1170" i="1"/>
  <c r="AU1170" i="1"/>
  <c r="BE1169" i="1"/>
  <c r="AU1169" i="1"/>
  <c r="BE1168" i="1"/>
  <c r="AU1168" i="1"/>
  <c r="BJ1167" i="1"/>
  <c r="BE1167" i="1"/>
  <c r="AU1167" i="1"/>
  <c r="BJ1166" i="1"/>
  <c r="BE1166" i="1"/>
  <c r="AU1166" i="1"/>
  <c r="BJ1165" i="1"/>
  <c r="BE1165" i="1"/>
  <c r="AU1165" i="1"/>
  <c r="BJ1164" i="1"/>
  <c r="BE1164" i="1"/>
  <c r="AU1164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CD1160" i="1"/>
  <c r="BZ1160" i="1"/>
  <c r="BQ1160" i="1"/>
  <c r="BD1160" i="1"/>
  <c r="AR1160" i="1"/>
  <c r="AL1160" i="1"/>
  <c r="AH1160" i="1"/>
  <c r="CB1159" i="1"/>
  <c r="BN1159" i="1"/>
  <c r="CE1158" i="1"/>
  <c r="CD1158" i="1"/>
  <c r="CC1158" i="1"/>
  <c r="CB1158" i="1"/>
  <c r="CA1158" i="1"/>
  <c r="BZ1158" i="1"/>
  <c r="BY1158" i="1"/>
  <c r="BX1158" i="1"/>
  <c r="BW1158" i="1"/>
  <c r="BV1158" i="1"/>
  <c r="BU1158" i="1"/>
  <c r="BT1158" i="1"/>
  <c r="BS1158" i="1"/>
  <c r="BR1158" i="1"/>
  <c r="BQ1158" i="1"/>
  <c r="BP1158" i="1"/>
  <c r="BO1158" i="1"/>
  <c r="BN1158" i="1"/>
  <c r="BM1158" i="1"/>
  <c r="CD1157" i="1"/>
  <c r="BK1157" i="1"/>
  <c r="CC1156" i="1"/>
  <c r="BR1156" i="1"/>
  <c r="CE1155" i="1"/>
  <c r="BK1155" i="1"/>
  <c r="CE1154" i="1"/>
  <c r="BK1154" i="1"/>
  <c r="CE1153" i="1"/>
  <c r="CD1153" i="1"/>
  <c r="CD1152" i="1"/>
  <c r="CC1152" i="1"/>
  <c r="CB1152" i="1"/>
  <c r="CA1152" i="1"/>
  <c r="BZ1152" i="1"/>
  <c r="CC1151" i="1"/>
  <c r="BR1151" i="1"/>
  <c r="BI1151" i="1"/>
  <c r="CD1150" i="1"/>
  <c r="CC1150" i="1"/>
  <c r="BJ1150" i="1"/>
  <c r="BV1149" i="1"/>
  <c r="BQ1149" i="1"/>
  <c r="BD1149" i="1"/>
  <c r="AT1149" i="1"/>
  <c r="AM1149" i="1"/>
  <c r="X1149" i="1"/>
  <c r="CA1148" i="1"/>
  <c r="BP1148" i="1"/>
  <c r="BH1148" i="1"/>
  <c r="CB1147" i="1"/>
  <c r="BJ1147" i="1"/>
  <c r="BZ1146" i="1"/>
  <c r="BW1146" i="1"/>
  <c r="BT1146" i="1"/>
  <c r="BQ1146" i="1"/>
  <c r="BN1146" i="1"/>
  <c r="CB1145" i="1"/>
  <c r="BK1145" i="1"/>
  <c r="CB1144" i="1"/>
  <c r="BK1144" i="1"/>
  <c r="BZ1143" i="1"/>
  <c r="BR1143" i="1"/>
  <c r="BB1143" i="1"/>
  <c r="AL1143" i="1"/>
  <c r="BZ1142" i="1"/>
  <c r="BR1142" i="1"/>
  <c r="BB1142" i="1"/>
  <c r="AL1142" i="1"/>
  <c r="BZ1141" i="1"/>
  <c r="BR1141" i="1"/>
  <c r="BB1141" i="1"/>
  <c r="AL1141" i="1"/>
  <c r="BZ1140" i="1"/>
  <c r="BR1140" i="1"/>
  <c r="BB1140" i="1"/>
  <c r="AL1140" i="1"/>
  <c r="CA1139" i="1"/>
  <c r="BZ1139" i="1"/>
  <c r="BY1139" i="1"/>
  <c r="BX1139" i="1"/>
  <c r="BW1139" i="1"/>
  <c r="BV1139" i="1"/>
  <c r="BU1139" i="1"/>
  <c r="BT1139" i="1"/>
  <c r="BS1139" i="1"/>
  <c r="CA1138" i="1"/>
  <c r="BZ1138" i="1"/>
  <c r="BY1138" i="1"/>
  <c r="BX1138" i="1"/>
  <c r="BW1138" i="1"/>
  <c r="BV1138" i="1"/>
  <c r="BU1138" i="1"/>
  <c r="BT1138" i="1"/>
  <c r="BS1138" i="1"/>
  <c r="CA1137" i="1"/>
  <c r="BZ1137" i="1"/>
  <c r="BY1137" i="1"/>
  <c r="BX1137" i="1"/>
  <c r="BW1137" i="1"/>
  <c r="BV1137" i="1"/>
  <c r="BU1137" i="1"/>
  <c r="BT1137" i="1"/>
  <c r="BS1137" i="1"/>
  <c r="CA1136" i="1"/>
  <c r="BZ1136" i="1"/>
  <c r="BY1136" i="1"/>
  <c r="BX1136" i="1"/>
  <c r="BW1136" i="1"/>
  <c r="BV1136" i="1"/>
  <c r="BU1136" i="1"/>
  <c r="BT1136" i="1"/>
  <c r="BS1136" i="1"/>
  <c r="CA1135" i="1"/>
  <c r="BZ1135" i="1"/>
  <c r="BY1135" i="1"/>
  <c r="BX1135" i="1"/>
  <c r="BW1135" i="1"/>
  <c r="BV1135" i="1"/>
  <c r="BU1135" i="1"/>
  <c r="BT1135" i="1"/>
  <c r="BS1135" i="1"/>
  <c r="CA1134" i="1"/>
  <c r="BZ1134" i="1"/>
  <c r="BY1134" i="1"/>
  <c r="BX1134" i="1"/>
  <c r="BW1134" i="1"/>
  <c r="BV1134" i="1"/>
  <c r="BU1134" i="1"/>
  <c r="BT1134" i="1"/>
  <c r="BS1134" i="1"/>
  <c r="CA1133" i="1"/>
  <c r="BZ1133" i="1"/>
  <c r="BY1133" i="1"/>
  <c r="BX1133" i="1"/>
  <c r="BW1133" i="1"/>
  <c r="BV1133" i="1"/>
  <c r="BU1133" i="1"/>
  <c r="BT1133" i="1"/>
  <c r="BS1133" i="1"/>
  <c r="CA1132" i="1"/>
  <c r="BZ1132" i="1"/>
  <c r="BY1132" i="1"/>
  <c r="BX1132" i="1"/>
  <c r="BW1132" i="1"/>
  <c r="BV1132" i="1"/>
  <c r="BU1132" i="1"/>
  <c r="BT1132" i="1"/>
  <c r="BS1132" i="1"/>
  <c r="CA1131" i="1"/>
  <c r="BZ1131" i="1"/>
  <c r="BY1131" i="1"/>
  <c r="BX1131" i="1"/>
  <c r="BW1131" i="1"/>
  <c r="BV1131" i="1"/>
  <c r="BU1131" i="1"/>
  <c r="BT1131" i="1"/>
  <c r="BS1131" i="1"/>
  <c r="BZ1130" i="1"/>
  <c r="BP1130" i="1"/>
  <c r="BZ1129" i="1"/>
  <c r="BP1129" i="1"/>
  <c r="BZ1128" i="1"/>
  <c r="BP1128" i="1"/>
  <c r="BZ1127" i="1"/>
  <c r="BP1127" i="1"/>
  <c r="BZ1126" i="1"/>
  <c r="BP1126" i="1"/>
  <c r="BZ1125" i="1"/>
  <c r="BP1125" i="1"/>
  <c r="BY1124" i="1"/>
  <c r="BL1124" i="1"/>
  <c r="BV1123" i="1"/>
  <c r="BR1123" i="1"/>
  <c r="BV1122" i="1"/>
  <c r="BE1122" i="1"/>
  <c r="AY1122" i="1"/>
  <c r="AF1122" i="1"/>
  <c r="BV1121" i="1"/>
  <c r="BE1121" i="1"/>
  <c r="AY1121" i="1"/>
  <c r="AF1121" i="1"/>
  <c r="BX1120" i="1"/>
  <c r="BW1120" i="1"/>
  <c r="BV1120" i="1"/>
  <c r="BU1120" i="1"/>
  <c r="BT1120" i="1"/>
  <c r="BS1120" i="1"/>
  <c r="BR1120" i="1"/>
  <c r="BQ1120" i="1"/>
  <c r="BP1120" i="1"/>
  <c r="BO1120" i="1"/>
  <c r="BX1119" i="1"/>
  <c r="BW1119" i="1"/>
  <c r="BV1119" i="1"/>
  <c r="BU1119" i="1"/>
  <c r="BT1119" i="1"/>
  <c r="BS1119" i="1"/>
  <c r="BR1119" i="1"/>
  <c r="BQ1119" i="1"/>
  <c r="BP1119" i="1"/>
  <c r="BO1119" i="1"/>
  <c r="BX1118" i="1"/>
  <c r="BW1118" i="1"/>
  <c r="BV1118" i="1"/>
  <c r="BU1118" i="1"/>
  <c r="BT1118" i="1"/>
  <c r="BS1118" i="1"/>
  <c r="BR1118" i="1"/>
  <c r="BQ1118" i="1"/>
  <c r="BP1118" i="1"/>
  <c r="BO1118" i="1"/>
  <c r="BX1117" i="1"/>
  <c r="BW1117" i="1"/>
  <c r="BV1117" i="1"/>
  <c r="BU1117" i="1"/>
  <c r="BT1117" i="1"/>
  <c r="BS1117" i="1"/>
  <c r="BR1117" i="1"/>
  <c r="BQ1117" i="1"/>
  <c r="BP1117" i="1"/>
  <c r="BO1117" i="1"/>
  <c r="BX1116" i="1"/>
  <c r="BW1116" i="1"/>
  <c r="BV1116" i="1"/>
  <c r="BU1116" i="1"/>
  <c r="BT1116" i="1"/>
  <c r="BS1116" i="1"/>
  <c r="BR1116" i="1"/>
  <c r="BQ1116" i="1"/>
  <c r="BP1116" i="1"/>
  <c r="BO1116" i="1"/>
  <c r="BT1115" i="1"/>
  <c r="BA1115" i="1"/>
  <c r="BV1114" i="1"/>
  <c r="BM1114" i="1"/>
  <c r="BW1113" i="1"/>
  <c r="BE1113" i="1"/>
  <c r="BW1112" i="1"/>
  <c r="BE1112" i="1"/>
  <c r="BT1111" i="1"/>
  <c r="BO1111" i="1"/>
  <c r="BT1110" i="1"/>
  <c r="BO1110" i="1"/>
  <c r="BU1109" i="1"/>
  <c r="BA1109" i="1"/>
  <c r="BU1108" i="1"/>
  <c r="BA1108" i="1"/>
  <c r="BS1107" i="1"/>
  <c r="BG1107" i="1"/>
  <c r="BA1107" i="1"/>
  <c r="AW1107" i="1"/>
  <c r="AQ1107" i="1"/>
  <c r="AG1107" i="1"/>
  <c r="BS1106" i="1"/>
  <c r="BG1106" i="1"/>
  <c r="BA1106" i="1"/>
  <c r="AW1106" i="1"/>
  <c r="AQ1106" i="1"/>
  <c r="AG1106" i="1"/>
  <c r="BR1105" i="1"/>
  <c r="BQ1105" i="1"/>
  <c r="BP1105" i="1"/>
  <c r="BO1105" i="1"/>
  <c r="BN1105" i="1"/>
  <c r="BM1105" i="1"/>
  <c r="BL1105" i="1"/>
  <c r="BT1104" i="1"/>
  <c r="BS1104" i="1"/>
  <c r="BR1104" i="1"/>
  <c r="BQ1104" i="1"/>
  <c r="BP1104" i="1"/>
  <c r="BO1104" i="1"/>
  <c r="BN1104" i="1"/>
  <c r="BM1104" i="1"/>
  <c r="BL1104" i="1"/>
  <c r="BP1103" i="1"/>
  <c r="BA1103" i="1"/>
  <c r="AE1103" i="1"/>
  <c r="BP1102" i="1"/>
  <c r="BA1102" i="1"/>
  <c r="AE1102" i="1"/>
  <c r="BJ1101" i="1"/>
  <c r="BI1101" i="1"/>
  <c r="BH1101" i="1"/>
  <c r="BG1101" i="1"/>
  <c r="BF1101" i="1"/>
  <c r="BE1101" i="1"/>
  <c r="BD1101" i="1"/>
  <c r="BC1101" i="1"/>
  <c r="BB1101" i="1"/>
  <c r="BA1101" i="1"/>
  <c r="BC1100" i="1"/>
  <c r="AQ1100" i="1"/>
  <c r="BC1099" i="1"/>
  <c r="AQ1099" i="1"/>
  <c r="BC1098" i="1"/>
  <c r="AQ1098" i="1"/>
  <c r="BK1097" i="1"/>
  <c r="BA1097" i="1"/>
  <c r="BI1096" i="1"/>
  <c r="AL1096" i="1"/>
  <c r="BE1095" i="1"/>
  <c r="AK1095" i="1"/>
  <c r="AW1094" i="1"/>
  <c r="AQ1094" i="1"/>
  <c r="AY1093" i="1"/>
  <c r="AU1093" i="1"/>
  <c r="AK1093" i="1"/>
  <c r="AD1093" i="1"/>
  <c r="Q1093" i="1"/>
  <c r="AY1092" i="1"/>
  <c r="AU1092" i="1"/>
  <c r="AK1092" i="1"/>
  <c r="AD1092" i="1"/>
  <c r="Q1092" i="1"/>
  <c r="AY1091" i="1"/>
  <c r="AU1091" i="1"/>
  <c r="AK1091" i="1"/>
  <c r="AD1091" i="1"/>
  <c r="Q1091" i="1"/>
  <c r="AY1090" i="1"/>
  <c r="AU1090" i="1"/>
  <c r="AK1090" i="1"/>
  <c r="AD1090" i="1"/>
  <c r="Q1090" i="1"/>
  <c r="AY1089" i="1"/>
  <c r="AU1089" i="1"/>
  <c r="AK1089" i="1"/>
  <c r="AD1089" i="1"/>
  <c r="Q1089" i="1"/>
  <c r="AY1088" i="1"/>
  <c r="AU1088" i="1"/>
  <c r="AK1088" i="1"/>
  <c r="Q1088" i="1"/>
  <c r="AY1087" i="1"/>
  <c r="AU1087" i="1"/>
  <c r="AK1087" i="1"/>
  <c r="AD1087" i="1"/>
  <c r="Q1087" i="1"/>
  <c r="AY1086" i="1"/>
  <c r="AU1086" i="1"/>
  <c r="AK1086" i="1"/>
  <c r="AD1086" i="1"/>
  <c r="Q1086" i="1"/>
  <c r="AY1085" i="1"/>
  <c r="AU1085" i="1"/>
  <c r="AK1085" i="1"/>
  <c r="AD1085" i="1"/>
  <c r="Q1085" i="1"/>
  <c r="AY1084" i="1"/>
  <c r="AU1084" i="1"/>
  <c r="AK1084" i="1"/>
  <c r="AD1084" i="1"/>
  <c r="Q1084" i="1"/>
  <c r="AY1083" i="1"/>
  <c r="AU1083" i="1"/>
  <c r="AK1083" i="1"/>
  <c r="AD1083" i="1"/>
  <c r="Q1083" i="1"/>
  <c r="AY1082" i="1"/>
  <c r="AU1082" i="1"/>
  <c r="AK1082" i="1"/>
  <c r="AD1082" i="1"/>
  <c r="Q1082" i="1"/>
  <c r="AY1081" i="1"/>
  <c r="AU1081" i="1"/>
  <c r="AK1081" i="1"/>
  <c r="AD1081" i="1"/>
  <c r="Q1081" i="1"/>
  <c r="AY1080" i="1"/>
  <c r="AU1080" i="1"/>
  <c r="AK1080" i="1"/>
  <c r="AD1080" i="1"/>
  <c r="Q1080" i="1"/>
  <c r="AY1079" i="1"/>
  <c r="AU1079" i="1"/>
  <c r="AK1079" i="1"/>
  <c r="AD1079" i="1"/>
  <c r="Q1079" i="1"/>
  <c r="AY1078" i="1"/>
  <c r="AU1078" i="1"/>
  <c r="AK1078" i="1"/>
  <c r="AD1078" i="1"/>
  <c r="Q1078" i="1"/>
  <c r="BP1068" i="1"/>
  <c r="BO1068" i="1"/>
  <c r="BN1068" i="1"/>
  <c r="BM1068" i="1"/>
  <c r="BL1068" i="1"/>
  <c r="BK1068" i="1"/>
  <c r="BJ1068" i="1"/>
  <c r="BI1068" i="1"/>
  <c r="BH1068" i="1"/>
  <c r="BG1068" i="1"/>
  <c r="BL1067" i="1"/>
  <c r="BG1067" i="1"/>
  <c r="CB892" i="1" l="1"/>
  <c r="CA892" i="1"/>
  <c r="BZ892" i="1"/>
  <c r="BY892" i="1"/>
  <c r="BX892" i="1"/>
  <c r="BW892" i="1"/>
  <c r="BV892" i="1"/>
  <c r="BU892" i="1"/>
  <c r="BY850" i="1" l="1"/>
  <c r="BX850" i="1"/>
  <c r="BW850" i="1"/>
  <c r="BV850" i="1"/>
  <c r="BU850" i="1"/>
  <c r="BT850" i="1"/>
  <c r="BS850" i="1"/>
  <c r="BR850" i="1"/>
  <c r="BQ850" i="1"/>
  <c r="BP850" i="1"/>
  <c r="BO850" i="1"/>
  <c r="BN850" i="1"/>
  <c r="BO848" i="1"/>
  <c r="BG848" i="1"/>
  <c r="BO847" i="1"/>
  <c r="BG847" i="1"/>
  <c r="BO846" i="1"/>
  <c r="BG846" i="1"/>
  <c r="BN845" i="1"/>
  <c r="BF845" i="1"/>
  <c r="BN844" i="1"/>
  <c r="BF844" i="1"/>
  <c r="CA837" i="1" l="1"/>
  <c r="BZ837" i="1"/>
  <c r="BY837" i="1"/>
  <c r="BX837" i="1"/>
  <c r="BW837" i="1"/>
  <c r="BV837" i="1"/>
  <c r="BU837" i="1"/>
  <c r="BT837" i="1"/>
  <c r="BS837" i="1"/>
  <c r="BR837" i="1"/>
  <c r="BQ837" i="1"/>
  <c r="BP837" i="1"/>
  <c r="BO837" i="1"/>
  <c r="BN837" i="1"/>
  <c r="BM837" i="1"/>
  <c r="BL837" i="1"/>
  <c r="CA836" i="1"/>
  <c r="BY836" i="1"/>
  <c r="BW836" i="1"/>
  <c r="BU836" i="1"/>
  <c r="CA835" i="1"/>
  <c r="BY835" i="1"/>
  <c r="BW835" i="1"/>
  <c r="BU835" i="1"/>
  <c r="BS835" i="1"/>
  <c r="BQ835" i="1"/>
  <c r="BM835" i="1"/>
  <c r="BK835" i="1"/>
  <c r="CA834" i="1"/>
  <c r="BY834" i="1"/>
  <c r="BK834" i="1"/>
  <c r="BN833" i="1"/>
  <c r="BM833" i="1"/>
  <c r="BL833" i="1"/>
  <c r="BK833" i="1"/>
  <c r="BJ833" i="1"/>
  <c r="BI833" i="1"/>
  <c r="BH833" i="1"/>
  <c r="BU830" i="1"/>
  <c r="BT830" i="1"/>
  <c r="BS830" i="1"/>
  <c r="BR830" i="1"/>
  <c r="BQ830" i="1"/>
  <c r="BP830" i="1"/>
  <c r="BO830" i="1"/>
  <c r="BN830" i="1"/>
  <c r="BU829" i="1"/>
  <c r="BT829" i="1"/>
  <c r="BS829" i="1"/>
  <c r="BR829" i="1"/>
  <c r="BQ829" i="1"/>
  <c r="BP829" i="1"/>
  <c r="BO829" i="1"/>
  <c r="BN829" i="1"/>
  <c r="BS828" i="1"/>
  <c r="BR828" i="1"/>
  <c r="BQ828" i="1"/>
  <c r="BP828" i="1"/>
  <c r="BO828" i="1"/>
  <c r="BN828" i="1"/>
  <c r="BQ827" i="1"/>
  <c r="BM827" i="1"/>
  <c r="BU826" i="1"/>
  <c r="BT826" i="1"/>
  <c r="BS826" i="1"/>
  <c r="BR826" i="1"/>
  <c r="BQ826" i="1"/>
  <c r="BP826" i="1"/>
  <c r="BO826" i="1"/>
  <c r="BU825" i="1"/>
  <c r="BT825" i="1"/>
  <c r="BS825" i="1"/>
  <c r="BR825" i="1"/>
  <c r="BQ825" i="1"/>
  <c r="BP825" i="1"/>
  <c r="BO825" i="1"/>
  <c r="BE824" i="1"/>
  <c r="AZ824" i="1"/>
  <c r="BD823" i="1"/>
  <c r="AZ823" i="1"/>
  <c r="BE822" i="1"/>
  <c r="AZ822" i="1"/>
  <c r="BH821" i="1"/>
  <c r="AZ821" i="1"/>
  <c r="BI820" i="1"/>
  <c r="AZ820" i="1"/>
  <c r="BJ819" i="1"/>
  <c r="AZ819" i="1"/>
  <c r="BK818" i="1"/>
  <c r="AZ818" i="1"/>
  <c r="BL817" i="1"/>
  <c r="AZ817" i="1"/>
  <c r="BM816" i="1"/>
  <c r="AZ816" i="1"/>
  <c r="BO815" i="1"/>
  <c r="BM815" i="1"/>
  <c r="BK815" i="1"/>
  <c r="BO814" i="1"/>
  <c r="BM814" i="1"/>
  <c r="BK814" i="1"/>
  <c r="BO813" i="1"/>
  <c r="BM813" i="1"/>
  <c r="BK813" i="1"/>
  <c r="BO812" i="1"/>
  <c r="BM812" i="1"/>
  <c r="BK812" i="1"/>
  <c r="BO811" i="1"/>
  <c r="BG811" i="1"/>
  <c r="BJ810" i="1"/>
  <c r="BH810" i="1"/>
  <c r="BF810" i="1"/>
  <c r="BE809" i="1"/>
  <c r="AY809" i="1"/>
  <c r="AS809" i="1"/>
  <c r="BE808" i="1"/>
  <c r="BC808" i="1"/>
  <c r="BA808" i="1"/>
  <c r="AY808" i="1"/>
  <c r="AW808" i="1"/>
  <c r="BA807" i="1"/>
  <c r="AY807" i="1"/>
  <c r="AW807" i="1"/>
  <c r="AU807" i="1"/>
  <c r="AS807" i="1"/>
  <c r="BI806" i="1"/>
  <c r="BF806" i="1"/>
  <c r="AM805" i="1"/>
  <c r="AJ805" i="1"/>
  <c r="AG805" i="1"/>
  <c r="BE804" i="1"/>
  <c r="AX804" i="1"/>
  <c r="BE803" i="1"/>
  <c r="AX803" i="1"/>
  <c r="BD802" i="1"/>
  <c r="AT802" i="1"/>
  <c r="BD801" i="1"/>
  <c r="AT801" i="1"/>
  <c r="AY800" i="1"/>
  <c r="AU800" i="1"/>
  <c r="AQ800" i="1"/>
  <c r="AQ764" i="1"/>
  <c r="AL764" i="1"/>
  <c r="BV741" i="1" l="1"/>
  <c r="BS741" i="1"/>
  <c r="BP741" i="1"/>
  <c r="BM741" i="1"/>
  <c r="CC738" i="1"/>
  <c r="CB738" i="1"/>
  <c r="CA738" i="1"/>
  <c r="BZ738" i="1"/>
  <c r="BY738" i="1"/>
  <c r="BX738" i="1"/>
  <c r="BW738" i="1"/>
  <c r="BV738" i="1"/>
  <c r="BU738" i="1"/>
  <c r="BT738" i="1"/>
  <c r="BS738" i="1"/>
  <c r="CC737" i="1"/>
  <c r="CB737" i="1"/>
  <c r="CA737" i="1"/>
  <c r="BZ737" i="1"/>
  <c r="BY737" i="1"/>
  <c r="BX737" i="1"/>
  <c r="BW737" i="1"/>
  <c r="BV737" i="1"/>
  <c r="BU737" i="1"/>
  <c r="BT737" i="1"/>
  <c r="BS737" i="1"/>
  <c r="BU727" i="1"/>
  <c r="BJ727" i="1"/>
  <c r="BW721" i="1"/>
  <c r="BK721" i="1"/>
  <c r="BW720" i="1"/>
  <c r="BK720" i="1"/>
  <c r="BW719" i="1"/>
  <c r="BK719" i="1"/>
  <c r="BW718" i="1"/>
  <c r="BK718" i="1"/>
  <c r="BW717" i="1"/>
  <c r="BK717" i="1"/>
  <c r="BW716" i="1"/>
  <c r="BK716" i="1"/>
  <c r="BW715" i="1"/>
  <c r="BK715" i="1"/>
  <c r="BW714" i="1"/>
  <c r="BK714" i="1"/>
  <c r="BP707" i="1"/>
  <c r="BO707" i="1"/>
  <c r="BN707" i="1"/>
  <c r="BM707" i="1"/>
  <c r="BL707" i="1"/>
  <c r="BK707" i="1"/>
  <c r="BJ707" i="1"/>
  <c r="BT705" i="1"/>
  <c r="BR705" i="1"/>
  <c r="BI705" i="1"/>
  <c r="CE693" i="1"/>
  <c r="BM693" i="1"/>
  <c r="BO647" i="1"/>
  <c r="BD647" i="1"/>
  <c r="BL646" i="1"/>
  <c r="BE646" i="1"/>
  <c r="BU633" i="1" l="1"/>
  <c r="BB633" i="1"/>
  <c r="AX631" i="1"/>
  <c r="AJ631" i="1"/>
  <c r="BA630" i="1"/>
  <c r="AR630" i="1"/>
  <c r="BD629" i="1"/>
  <c r="AZ629" i="1"/>
  <c r="AV629" i="1"/>
  <c r="AQ629" i="1"/>
  <c r="AL629" i="1"/>
  <c r="AG629" i="1"/>
  <c r="AB629" i="1"/>
  <c r="W629" i="1"/>
  <c r="AX628" i="1"/>
  <c r="AW628" i="1"/>
  <c r="AT628" i="1"/>
  <c r="AS628" i="1"/>
  <c r="AQ628" i="1"/>
  <c r="AN628" i="1"/>
  <c r="AK628" i="1"/>
  <c r="AI628" i="1"/>
  <c r="AX627" i="1"/>
  <c r="AW627" i="1"/>
  <c r="AT627" i="1"/>
  <c r="AS627" i="1"/>
  <c r="AQ627" i="1"/>
  <c r="AN627" i="1"/>
  <c r="AK627" i="1"/>
  <c r="AI627" i="1"/>
  <c r="AW626" i="1"/>
  <c r="AS626" i="1"/>
  <c r="AQ625" i="1"/>
  <c r="AE625" i="1"/>
  <c r="S625" i="1"/>
  <c r="CE623" i="1"/>
  <c r="BY623" i="1"/>
  <c r="BS623" i="1"/>
  <c r="BM623" i="1"/>
  <c r="CE622" i="1"/>
  <c r="BZ622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CD620" i="1"/>
  <c r="BR620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CB618" i="1"/>
  <c r="BT618" i="1"/>
  <c r="BL618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CB614" i="1"/>
  <c r="BR614" i="1"/>
  <c r="BV612" i="1"/>
  <c r="BI612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AT608" i="1"/>
  <c r="AQ608" i="1"/>
  <c r="AP607" i="1"/>
  <c r="AF607" i="1"/>
  <c r="AP606" i="1"/>
  <c r="AF606" i="1"/>
  <c r="AZ605" i="1"/>
  <c r="AP605" i="1"/>
  <c r="BT50" i="1"/>
  <c r="BU50" i="1"/>
  <c r="BV50" i="1"/>
  <c r="BP72" i="1"/>
  <c r="BV72" i="1"/>
  <c r="AG261" i="1"/>
  <c r="AQ261" i="1"/>
  <c r="BA261" i="1"/>
  <c r="BA262" i="1"/>
  <c r="BI262" i="1"/>
  <c r="BA263" i="1"/>
  <c r="BI263" i="1"/>
  <c r="AZ264" i="1"/>
  <c r="BA264" i="1"/>
  <c r="BB264" i="1"/>
  <c r="BC264" i="1"/>
  <c r="BD264" i="1"/>
  <c r="BE264" i="1"/>
  <c r="BF264" i="1"/>
  <c r="BG264" i="1"/>
  <c r="BH264" i="1"/>
  <c r="BI264" i="1"/>
  <c r="BJ264" i="1"/>
  <c r="AZ265" i="1"/>
  <c r="BA265" i="1"/>
  <c r="BB265" i="1"/>
  <c r="BC265" i="1"/>
  <c r="BD265" i="1"/>
  <c r="BE265" i="1"/>
  <c r="BF265" i="1"/>
  <c r="BG265" i="1"/>
  <c r="BH265" i="1"/>
  <c r="BI265" i="1"/>
  <c r="BJ265" i="1"/>
  <c r="BE266" i="1"/>
  <c r="BF266" i="1"/>
  <c r="BG266" i="1"/>
  <c r="BH266" i="1"/>
  <c r="BI266" i="1"/>
  <c r="BJ266" i="1"/>
  <c r="BE267" i="1"/>
  <c r="BF267" i="1"/>
  <c r="BG267" i="1"/>
  <c r="BH267" i="1"/>
  <c r="BI267" i="1"/>
  <c r="BJ267" i="1"/>
  <c r="BD268" i="1"/>
  <c r="BM268" i="1"/>
  <c r="BD269" i="1"/>
  <c r="BM269" i="1"/>
  <c r="BC270" i="1"/>
  <c r="BV270" i="1"/>
  <c r="BC271" i="1"/>
  <c r="BV271" i="1"/>
  <c r="BT275" i="1"/>
  <c r="BU275" i="1"/>
  <c r="BV275" i="1"/>
  <c r="BL276" i="1"/>
  <c r="BP276" i="1"/>
  <c r="BU276" i="1"/>
  <c r="BL277" i="1"/>
  <c r="BP277" i="1"/>
  <c r="BU277" i="1"/>
  <c r="BU278" i="1"/>
  <c r="BB282" i="1"/>
  <c r="BL282" i="1"/>
  <c r="BK286" i="1"/>
  <c r="BF334" i="1"/>
  <c r="BP334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C409" i="1"/>
  <c r="BD409" i="1"/>
  <c r="BE409" i="1"/>
  <c r="BF409" i="1"/>
  <c r="BG409" i="1"/>
  <c r="BH409" i="1"/>
  <c r="BI409" i="1"/>
  <c r="BC410" i="1"/>
  <c r="BD410" i="1"/>
  <c r="BE410" i="1"/>
  <c r="BF410" i="1"/>
  <c r="BG410" i="1"/>
  <c r="BH410" i="1"/>
  <c r="BI410" i="1"/>
  <c r="AS411" i="1"/>
  <c r="BB411" i="1"/>
  <c r="AO412" i="1"/>
  <c r="BQ412" i="1"/>
  <c r="AW413" i="1"/>
  <c r="BB413" i="1"/>
  <c r="BT414" i="1"/>
  <c r="BU414" i="1"/>
  <c r="BV414" i="1"/>
  <c r="BP415" i="1"/>
  <c r="BQ415" i="1"/>
  <c r="BR415" i="1"/>
  <c r="BS415" i="1"/>
  <c r="BT415" i="1"/>
  <c r="BU415" i="1"/>
  <c r="BV415" i="1"/>
  <c r="AV416" i="1"/>
  <c r="BF416" i="1"/>
  <c r="BP416" i="1"/>
  <c r="BT417" i="1"/>
  <c r="BU417" i="1"/>
  <c r="BV417" i="1"/>
  <c r="BL418" i="1"/>
  <c r="BM418" i="1"/>
  <c r="BN418" i="1"/>
  <c r="BO418" i="1"/>
  <c r="BP418" i="1"/>
  <c r="BQ418" i="1"/>
  <c r="BR418" i="1"/>
  <c r="BS418" i="1"/>
  <c r="BT418" i="1"/>
  <c r="BU418" i="1"/>
  <c r="BV418" i="1"/>
  <c r="BT419" i="1"/>
  <c r="BU419" i="1"/>
  <c r="BV419" i="1"/>
  <c r="BU422" i="1"/>
  <c r="BV422" i="1"/>
  <c r="CB599" i="1"/>
  <c r="CA599" i="1"/>
  <c r="BZ599" i="1"/>
  <c r="BY599" i="1"/>
  <c r="BX599" i="1"/>
  <c r="CF422" i="1" l="1"/>
  <c r="CE422" i="1"/>
  <c r="CD422" i="1"/>
  <c r="CC422" i="1"/>
  <c r="CB422" i="1"/>
  <c r="CA422" i="1"/>
  <c r="BZ422" i="1"/>
  <c r="BY422" i="1"/>
  <c r="BX422" i="1"/>
  <c r="BW422" i="1"/>
  <c r="CE421" i="1"/>
  <c r="CD421" i="1"/>
  <c r="CC421" i="1"/>
  <c r="CB421" i="1"/>
  <c r="CA421" i="1"/>
  <c r="BZ421" i="1"/>
  <c r="BY421" i="1"/>
  <c r="BX421" i="1"/>
  <c r="BW421" i="1"/>
  <c r="CA419" i="1"/>
  <c r="BZ419" i="1"/>
  <c r="BY419" i="1"/>
  <c r="BX419" i="1"/>
  <c r="BW419" i="1"/>
  <c r="BY417" i="1"/>
  <c r="BX417" i="1"/>
  <c r="BW417" i="1"/>
  <c r="BZ416" i="1"/>
  <c r="BZ415" i="1"/>
  <c r="BY415" i="1"/>
  <c r="BX415" i="1"/>
  <c r="BW415" i="1"/>
  <c r="CA414" i="1"/>
  <c r="BZ414" i="1"/>
  <c r="BY414" i="1"/>
  <c r="BX414" i="1"/>
  <c r="BW414" i="1"/>
  <c r="BW408" i="1"/>
  <c r="CF286" i="1" l="1"/>
  <c r="CE278" i="1" l="1"/>
  <c r="CE275" i="1"/>
  <c r="CD275" i="1"/>
  <c r="CC275" i="1"/>
  <c r="CB275" i="1"/>
  <c r="CA275" i="1"/>
  <c r="BZ275" i="1"/>
  <c r="BY275" i="1"/>
  <c r="BX275" i="1"/>
  <c r="BW275" i="1"/>
  <c r="CB72" i="1" l="1"/>
  <c r="CC50" i="1" l="1"/>
  <c r="CD50" i="1"/>
  <c r="CE50" i="1"/>
  <c r="CB51" i="1" l="1"/>
  <c r="BW51" i="1"/>
  <c r="CB50" i="1"/>
  <c r="CA50" i="1"/>
  <c r="BZ50" i="1"/>
  <c r="BY50" i="1"/>
  <c r="BX50" i="1"/>
  <c r="BW50" i="1"/>
</calcChain>
</file>

<file path=xl/sharedStrings.xml><?xml version="1.0" encoding="utf-8"?>
<sst xmlns="http://schemas.openxmlformats.org/spreadsheetml/2006/main" count="1272" uniqueCount="43">
  <si>
    <t>Phenotype</t>
  </si>
  <si>
    <t>Alopecia Aereata</t>
  </si>
  <si>
    <t>Citation</t>
  </si>
  <si>
    <t>Allergic Rhinitis</t>
  </si>
  <si>
    <t>Anaemia</t>
  </si>
  <si>
    <t>Asthma</t>
  </si>
  <si>
    <t>Atopic Dermatitis</t>
  </si>
  <si>
    <t>Cancer</t>
  </si>
  <si>
    <t>{Kang et al., 2023, #210954; Kang et al., 2022, #27366; Hong et al., 2021, #105572; Hong et al., 2020, #170033; Jung et al., 2019, #183152; Jung et al., 2018, #314541; Jung et al., 2017, #15637; Oh et al., 2016, #251123; Jung et al., 2015, #16103; Jung et al., 2014, #119491; Jung et al., 2013, #221636; Jung et al., 2012, #126141}</t>
  </si>
  <si>
    <t>Multiple Cancer 1</t>
  </si>
  <si>
    <t>(40-51)</t>
  </si>
  <si>
    <t>Type</t>
  </si>
  <si>
    <t>Citations</t>
  </si>
  <si>
    <t>Assigned Numbers</t>
  </si>
  <si>
    <t>Coeliac Disease</t>
  </si>
  <si>
    <t>Food Allergies</t>
  </si>
  <si>
    <t>Hypertension</t>
  </si>
  <si>
    <t>Lupus</t>
  </si>
  <si>
    <t>Myopia</t>
  </si>
  <si>
    <t>Obesity</t>
  </si>
  <si>
    <t>Osteoarthritis</t>
  </si>
  <si>
    <t>Rheumatoid Arthritis</t>
  </si>
  <si>
    <t>Type 1 Diabetes</t>
  </si>
  <si>
    <t>Type 2 Diabetes</t>
  </si>
  <si>
    <t>ADHD</t>
  </si>
  <si>
    <t>Alzheimer</t>
  </si>
  <si>
    <t>Anxiety</t>
  </si>
  <si>
    <t>Autism</t>
  </si>
  <si>
    <t>Bipolar Disorder</t>
  </si>
  <si>
    <t>Dementia</t>
  </si>
  <si>
    <t>Depression</t>
  </si>
  <si>
    <t>Eating Disorders</t>
  </si>
  <si>
    <t>Handedness</t>
  </si>
  <si>
    <t>Homosexuality (Men)</t>
  </si>
  <si>
    <t>Homosexuality (Women)</t>
  </si>
  <si>
    <t>Personality Disorders</t>
  </si>
  <si>
    <t>Schizophrenia</t>
  </si>
  <si>
    <t>Suicide</t>
  </si>
  <si>
    <t>Transgender &amp; Gender Dysphoria</t>
  </si>
  <si>
    <t>(444-455)</t>
  </si>
  <si>
    <t>(539,527)</t>
  </si>
  <si>
    <t>(557-550)</t>
  </si>
  <si>
    <t>(813,814)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</si>
</sst>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%"/>
    <numFmt numFmtId="165" formatCode="0.000%"/>
    <numFmt numFmtId="166" formatCode="0.0000"/>
    <numFmt numFmtId="167" formatCode="0.00000%"/>
    <numFmt numFmtId="168" formatCode="0.000000%"/>
    <numFmt numFmtId="169" formatCode="0.00000000%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</font>
    <font>
      <b/>
      <sz val="12"/>
      <color rgb="FF00B05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sz val="12"/>
      <color rgb="FFFFC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10" fontId="8" fillId="0" borderId="0" xfId="0" applyNumberFormat="1" applyFont="1"/>
    <xf numFmtId="10" fontId="5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7" fillId="0" borderId="0" xfId="0" applyNumberFormat="1" applyFont="1"/>
    <xf numFmtId="0" fontId="7" fillId="0" borderId="0" xfId="0" applyFont="1"/>
    <xf numFmtId="0" fontId="13" fillId="0" borderId="0" xfId="0" applyFont="1"/>
    <xf numFmtId="0" fontId="9" fillId="0" borderId="0" xfId="0" applyFont="1"/>
    <xf numFmtId="164" fontId="10" fillId="0" borderId="0" xfId="0" applyNumberFormat="1" applyFont="1"/>
    <xf numFmtId="164" fontId="8" fillId="0" borderId="0" xfId="0" applyNumberFormat="1" applyFont="1"/>
    <xf numFmtId="167" fontId="0" fillId="0" borderId="0" xfId="0" applyNumberFormat="1"/>
    <xf numFmtId="167" fontId="8" fillId="0" borderId="0" xfId="0" applyNumberFormat="1" applyFont="1"/>
    <xf numFmtId="167" fontId="10" fillId="0" borderId="0" xfId="0" applyNumberFormat="1" applyFont="1"/>
    <xf numFmtId="0" fontId="11" fillId="0" borderId="0" xfId="0" applyFont="1"/>
    <xf numFmtId="164" fontId="12" fillId="0" borderId="0" xfId="0" applyNumberFormat="1" applyFont="1"/>
    <xf numFmtId="0" fontId="12" fillId="0" borderId="0" xfId="0" applyFont="1"/>
    <xf numFmtId="10" fontId="12" fillId="0" borderId="0" xfId="0" applyNumberFormat="1" applyFont="1"/>
    <xf numFmtId="167" fontId="12" fillId="0" borderId="0" xfId="0" applyNumberFormat="1" applyFont="1"/>
    <xf numFmtId="168" fontId="0" fillId="0" borderId="0" xfId="0" applyNumberFormat="1"/>
    <xf numFmtId="0" fontId="14" fillId="0" borderId="0" xfId="0" applyFont="1" applyAlignment="1">
      <alignment vertical="center" wrapText="1"/>
    </xf>
    <xf numFmtId="10" fontId="10" fillId="0" borderId="0" xfId="0" applyNumberFormat="1" applyFont="1"/>
    <xf numFmtId="0" fontId="10" fillId="0" borderId="0" xfId="0" applyFont="1"/>
    <xf numFmtId="169" fontId="0" fillId="0" borderId="0" xfId="0" applyNumberFormat="1"/>
    <xf numFmtId="168" fontId="10" fillId="0" borderId="0" xfId="0" applyNumberFormat="1" applyFont="1"/>
    <xf numFmtId="167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5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14" fillId="0" borderId="3" xfId="0" applyFont="1" applyBorder="1" applyAlignment="1">
      <alignment vertical="center" wrapText="1"/>
    </xf>
    <xf numFmtId="0" fontId="0" fillId="0" borderId="3" xfId="0" applyBorder="1"/>
    <xf numFmtId="10" fontId="5" fillId="0" borderId="3" xfId="0" applyNumberFormat="1" applyFont="1" applyBorder="1"/>
    <xf numFmtId="10" fontId="0" fillId="0" borderId="3" xfId="0" applyNumberFormat="1" applyBorder="1"/>
    <xf numFmtId="10" fontId="8" fillId="0" borderId="3" xfId="0" applyNumberFormat="1" applyFont="1" applyBorder="1"/>
    <xf numFmtId="0" fontId="8" fillId="0" borderId="3" xfId="0" applyFont="1" applyBorder="1"/>
    <xf numFmtId="0" fontId="0" fillId="0" borderId="5" xfId="0" applyBorder="1"/>
    <xf numFmtId="165" fontId="0" fillId="0" borderId="3" xfId="0" applyNumberFormat="1" applyBorder="1"/>
    <xf numFmtId="0" fontId="1" fillId="0" borderId="3" xfId="0" applyFont="1" applyBorder="1"/>
    <xf numFmtId="164" fontId="0" fillId="0" borderId="4" xfId="0" applyNumberFormat="1" applyBorder="1"/>
    <xf numFmtId="0" fontId="1" fillId="0" borderId="5" xfId="0" applyFont="1" applyBorder="1"/>
    <xf numFmtId="0" fontId="12" fillId="0" borderId="4" xfId="0" applyFont="1" applyBorder="1"/>
    <xf numFmtId="0" fontId="11" fillId="0" borderId="3" xfId="0" applyFont="1" applyBorder="1"/>
    <xf numFmtId="164" fontId="12" fillId="0" borderId="3" xfId="0" applyNumberFormat="1" applyFont="1" applyBorder="1"/>
    <xf numFmtId="0" fontId="12" fillId="0" borderId="3" xfId="0" applyFont="1" applyBorder="1"/>
    <xf numFmtId="10" fontId="12" fillId="0" borderId="3" xfId="0" applyNumberFormat="1" applyFont="1" applyBorder="1"/>
    <xf numFmtId="167" fontId="12" fillId="0" borderId="3" xfId="0" applyNumberFormat="1" applyFont="1" applyBorder="1"/>
    <xf numFmtId="164" fontId="0" fillId="0" borderId="3" xfId="0" applyNumberFormat="1" applyBorder="1"/>
    <xf numFmtId="164" fontId="10" fillId="0" borderId="3" xfId="0" applyNumberFormat="1" applyFont="1" applyBorder="1"/>
    <xf numFmtId="0" fontId="12" fillId="0" borderId="5" xfId="0" applyFont="1" applyBorder="1"/>
    <xf numFmtId="0" fontId="1" fillId="0" borderId="4" xfId="0" applyFont="1" applyBorder="1"/>
    <xf numFmtId="0" fontId="13" fillId="0" borderId="3" xfId="0" applyFont="1" applyBorder="1"/>
    <xf numFmtId="0" fontId="9" fillId="0" borderId="3" xfId="0" applyFont="1" applyBorder="1"/>
    <xf numFmtId="167" fontId="0" fillId="0" borderId="3" xfId="0" applyNumberFormat="1" applyBorder="1"/>
    <xf numFmtId="168" fontId="0" fillId="0" borderId="3" xfId="0" applyNumberFormat="1" applyBorder="1"/>
    <xf numFmtId="164" fontId="8" fillId="0" borderId="3" xfId="0" applyNumberFormat="1" applyFont="1" applyBorder="1"/>
    <xf numFmtId="167" fontId="8" fillId="0" borderId="3" xfId="0" applyNumberFormat="1" applyFont="1" applyBorder="1"/>
    <xf numFmtId="10" fontId="10" fillId="0" borderId="3" xfId="0" applyNumberFormat="1" applyFont="1" applyBorder="1"/>
    <xf numFmtId="0" fontId="10" fillId="0" borderId="3" xfId="0" applyFont="1" applyBorder="1"/>
    <xf numFmtId="169" fontId="0" fillId="0" borderId="4" xfId="0" applyNumberFormat="1" applyBorder="1"/>
    <xf numFmtId="169" fontId="0" fillId="0" borderId="3" xfId="0" applyNumberFormat="1" applyBorder="1"/>
    <xf numFmtId="168" fontId="10" fillId="0" borderId="3" xfId="0" applyNumberFormat="1" applyFont="1" applyBorder="1"/>
    <xf numFmtId="169" fontId="0" fillId="0" borderId="5" xfId="0" applyNumberFormat="1" applyBorder="1"/>
    <xf numFmtId="0" fontId="0" fillId="0" borderId="1" xfId="0" applyBorder="1"/>
    <xf numFmtId="167" fontId="0" fillId="0" borderId="1" xfId="0" applyNumberForma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0153-16CE-864E-8189-FC9AF7B61889}">
  <sheetPr codeName="Hoja1"/>
  <dimension ref="A1:CY126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23" defaultRowHeight="16" x14ac:dyDescent="0.2"/>
  <cols>
    <col min="1" max="1" width="28.33203125" style="3" bestFit="1" customWidth="1"/>
    <col min="2" max="3" width="23" style="43"/>
    <col min="68" max="68" width="23" style="4"/>
    <col min="70" max="71" width="23" style="4"/>
  </cols>
  <sheetData>
    <row r="1" spans="1:86" ht="17" thickBot="1" x14ac:dyDescent="0.25">
      <c r="A1" s="33" t="s">
        <v>0</v>
      </c>
      <c r="B1" s="34" t="s">
        <v>2</v>
      </c>
      <c r="C1" s="81">
        <v>1940</v>
      </c>
      <c r="D1" s="35">
        <v>1941</v>
      </c>
      <c r="E1" s="35">
        <v>1942</v>
      </c>
      <c r="F1" s="35">
        <v>1943</v>
      </c>
      <c r="G1" s="35">
        <v>1944</v>
      </c>
      <c r="H1" s="35">
        <v>1945</v>
      </c>
      <c r="I1" s="35">
        <v>1946</v>
      </c>
      <c r="J1" s="35">
        <v>1947</v>
      </c>
      <c r="K1" s="35">
        <v>1948</v>
      </c>
      <c r="L1" s="35">
        <v>1949</v>
      </c>
      <c r="M1" s="35">
        <v>1950</v>
      </c>
      <c r="N1" s="36">
        <v>1951</v>
      </c>
      <c r="O1" s="36">
        <v>1952</v>
      </c>
      <c r="P1" s="36">
        <v>1953</v>
      </c>
      <c r="Q1" s="36">
        <v>1954</v>
      </c>
      <c r="R1" s="36">
        <v>1955</v>
      </c>
      <c r="S1" s="36">
        <v>1956</v>
      </c>
      <c r="T1" s="36">
        <v>1957</v>
      </c>
      <c r="U1" s="36">
        <v>1958</v>
      </c>
      <c r="V1" s="36">
        <v>1959</v>
      </c>
      <c r="W1" s="36">
        <v>1960</v>
      </c>
      <c r="X1" s="36">
        <v>1961</v>
      </c>
      <c r="Y1" s="36">
        <v>1962</v>
      </c>
      <c r="Z1" s="36">
        <v>1963</v>
      </c>
      <c r="AA1" s="36">
        <v>1964</v>
      </c>
      <c r="AB1" s="36">
        <v>1965</v>
      </c>
      <c r="AC1" s="36">
        <v>1966</v>
      </c>
      <c r="AD1" s="36">
        <v>1967</v>
      </c>
      <c r="AE1" s="36">
        <v>1968</v>
      </c>
      <c r="AF1" s="36">
        <v>1969</v>
      </c>
      <c r="AG1" s="36">
        <v>1970</v>
      </c>
      <c r="AH1" s="36">
        <v>1971</v>
      </c>
      <c r="AI1" s="36">
        <v>1972</v>
      </c>
      <c r="AJ1" s="36">
        <v>1973</v>
      </c>
      <c r="AK1" s="36">
        <v>1974</v>
      </c>
      <c r="AL1" s="36">
        <v>1975</v>
      </c>
      <c r="AM1" s="36">
        <v>1976</v>
      </c>
      <c r="AN1" s="36">
        <v>1977</v>
      </c>
      <c r="AO1" s="36">
        <v>1978</v>
      </c>
      <c r="AP1" s="36">
        <v>1979</v>
      </c>
      <c r="AQ1" s="36">
        <v>1980</v>
      </c>
      <c r="AR1" s="36">
        <v>1981</v>
      </c>
      <c r="AS1" s="36">
        <v>1982</v>
      </c>
      <c r="AT1" s="36">
        <v>1983</v>
      </c>
      <c r="AU1" s="36">
        <v>1984</v>
      </c>
      <c r="AV1" s="36">
        <v>1985</v>
      </c>
      <c r="AW1" s="36">
        <v>1986</v>
      </c>
      <c r="AX1" s="36">
        <v>1987</v>
      </c>
      <c r="AY1" s="36">
        <v>1988</v>
      </c>
      <c r="AZ1" s="36">
        <v>1989</v>
      </c>
      <c r="BA1" s="36">
        <v>1990</v>
      </c>
      <c r="BB1" s="36">
        <v>1991</v>
      </c>
      <c r="BC1" s="36">
        <v>1992</v>
      </c>
      <c r="BD1" s="36">
        <v>1993</v>
      </c>
      <c r="BE1" s="36">
        <v>1994</v>
      </c>
      <c r="BF1" s="36">
        <v>1995</v>
      </c>
      <c r="BG1" s="36">
        <v>1996</v>
      </c>
      <c r="BH1" s="36">
        <v>1997</v>
      </c>
      <c r="BI1" s="36">
        <v>1998</v>
      </c>
      <c r="BJ1" s="36">
        <v>1999</v>
      </c>
      <c r="BK1" s="36">
        <v>2000</v>
      </c>
      <c r="BL1" s="36">
        <v>2001</v>
      </c>
      <c r="BM1" s="36">
        <v>2002</v>
      </c>
      <c r="BN1" s="36">
        <v>2003</v>
      </c>
      <c r="BO1" s="36">
        <v>2004</v>
      </c>
      <c r="BP1" s="36">
        <v>2005</v>
      </c>
      <c r="BQ1" s="36">
        <v>2006</v>
      </c>
      <c r="BR1" s="36">
        <v>2007</v>
      </c>
      <c r="BS1" s="36">
        <v>2008</v>
      </c>
      <c r="BT1" s="36">
        <v>2009</v>
      </c>
      <c r="BU1" s="36">
        <v>2010</v>
      </c>
      <c r="BV1" s="36">
        <v>2011</v>
      </c>
      <c r="BW1" s="36">
        <v>2012</v>
      </c>
      <c r="BX1" s="36">
        <v>2013</v>
      </c>
      <c r="BY1" s="36">
        <v>2014</v>
      </c>
      <c r="BZ1" s="36">
        <v>2015</v>
      </c>
      <c r="CA1" s="36">
        <v>2016</v>
      </c>
      <c r="CB1" s="36">
        <v>2017</v>
      </c>
      <c r="CC1" s="36">
        <v>2018</v>
      </c>
      <c r="CD1" s="36">
        <v>2019</v>
      </c>
      <c r="CE1" s="36">
        <v>2020</v>
      </c>
      <c r="CF1" s="36">
        <v>2021</v>
      </c>
      <c r="CG1" s="36">
        <v>2022</v>
      </c>
      <c r="CH1" s="37">
        <v>2023</v>
      </c>
    </row>
    <row r="2" spans="1:86" ht="17" thickTop="1" x14ac:dyDescent="0.2">
      <c r="A2" s="3" t="s">
        <v>3</v>
      </c>
      <c r="B2" s="39">
        <v>451</v>
      </c>
      <c r="C2" s="82"/>
      <c r="D2" s="27"/>
      <c r="E2" s="27"/>
      <c r="F2" s="27"/>
      <c r="G2" s="27"/>
      <c r="H2" s="27"/>
      <c r="I2" s="27"/>
      <c r="J2" s="27"/>
      <c r="K2" s="27"/>
      <c r="L2" s="27"/>
      <c r="M2" s="27"/>
      <c r="AZ2" s="5">
        <v>0.223</v>
      </c>
      <c r="BH2" s="5">
        <v>0.315</v>
      </c>
      <c r="BP2"/>
      <c r="CH2" s="44"/>
    </row>
    <row r="3" spans="1:86" x14ac:dyDescent="0.2">
      <c r="A3" s="3" t="s">
        <v>3</v>
      </c>
      <c r="B3" s="39">
        <v>451</v>
      </c>
      <c r="C3" s="82"/>
      <c r="D3" s="27"/>
      <c r="E3" s="27"/>
      <c r="F3" s="27"/>
      <c r="G3" s="27"/>
      <c r="H3" s="27"/>
      <c r="I3" s="27"/>
      <c r="J3" s="27"/>
      <c r="K3" s="27"/>
      <c r="L3" s="27"/>
      <c r="M3" s="27"/>
      <c r="AZ3" s="5">
        <v>0.16900000000000001</v>
      </c>
      <c r="BH3" s="5">
        <v>0.248</v>
      </c>
      <c r="BP3"/>
      <c r="CH3" s="44"/>
    </row>
    <row r="4" spans="1:86" x14ac:dyDescent="0.2">
      <c r="A4" s="3" t="s">
        <v>3</v>
      </c>
      <c r="B4" s="39">
        <v>451</v>
      </c>
      <c r="C4" s="82"/>
      <c r="D4" s="27"/>
      <c r="E4" s="27"/>
      <c r="F4" s="27"/>
      <c r="G4" s="27"/>
      <c r="H4" s="27"/>
      <c r="I4" s="27"/>
      <c r="J4" s="27"/>
      <c r="K4" s="27"/>
      <c r="L4" s="27"/>
      <c r="M4" s="27"/>
      <c r="AZ4" s="5">
        <v>0.10199999999999999</v>
      </c>
      <c r="BH4" s="5">
        <v>0.152</v>
      </c>
      <c r="BP4"/>
      <c r="CH4" s="44"/>
    </row>
    <row r="5" spans="1:86" x14ac:dyDescent="0.2">
      <c r="A5" s="3" t="s">
        <v>3</v>
      </c>
      <c r="B5" s="39">
        <v>451</v>
      </c>
      <c r="C5" s="82"/>
      <c r="D5" s="27"/>
      <c r="E5" s="27"/>
      <c r="F5" s="27"/>
      <c r="G5" s="27"/>
      <c r="H5" s="27"/>
      <c r="I5" s="27"/>
      <c r="J5" s="27"/>
      <c r="K5" s="27"/>
      <c r="L5" s="27"/>
      <c r="M5" s="27"/>
      <c r="O5" s="1"/>
      <c r="Q5" s="1"/>
      <c r="S5" s="1"/>
      <c r="U5" s="1"/>
      <c r="W5" s="1"/>
      <c r="Y5" s="1"/>
      <c r="AA5" s="1"/>
      <c r="AC5" s="1"/>
      <c r="AE5" s="1"/>
      <c r="AF5" s="1"/>
      <c r="AZ5" s="5">
        <v>0.19</v>
      </c>
      <c r="BH5" s="5">
        <v>0.24</v>
      </c>
      <c r="BP5"/>
      <c r="CH5" s="44"/>
    </row>
    <row r="6" spans="1:86" x14ac:dyDescent="0.2">
      <c r="A6" s="3" t="s">
        <v>3</v>
      </c>
      <c r="B6" s="39">
        <v>452</v>
      </c>
      <c r="C6" s="82"/>
      <c r="D6" s="27"/>
      <c r="E6" s="27"/>
      <c r="F6" s="27"/>
      <c r="G6" s="27"/>
      <c r="H6" s="27"/>
      <c r="I6" s="27"/>
      <c r="J6" s="27"/>
      <c r="K6" s="27"/>
      <c r="L6" s="27"/>
      <c r="M6" s="27"/>
      <c r="BF6" s="5">
        <v>0.31900000000000001</v>
      </c>
      <c r="BL6" s="5">
        <v>0.33900000000000002</v>
      </c>
      <c r="BP6"/>
      <c r="CH6" s="44"/>
    </row>
    <row r="7" spans="1:86" x14ac:dyDescent="0.2">
      <c r="A7" s="3" t="s">
        <v>3</v>
      </c>
      <c r="B7" s="39">
        <v>453</v>
      </c>
      <c r="C7" s="82"/>
      <c r="D7" s="27"/>
      <c r="E7" s="27"/>
      <c r="F7" s="27"/>
      <c r="G7" s="27"/>
      <c r="H7" s="27"/>
      <c r="I7" s="27"/>
      <c r="J7" s="27"/>
      <c r="K7" s="27"/>
      <c r="L7" s="27"/>
      <c r="M7" s="27"/>
      <c r="BJ7" s="5">
        <v>0.216</v>
      </c>
      <c r="BP7"/>
      <c r="BR7"/>
      <c r="BS7" s="5">
        <v>0.309</v>
      </c>
      <c r="CH7" s="44"/>
    </row>
    <row r="8" spans="1:86" x14ac:dyDescent="0.2">
      <c r="A8" s="3" t="s">
        <v>3</v>
      </c>
      <c r="B8" s="39">
        <v>454</v>
      </c>
      <c r="C8" s="82"/>
      <c r="D8" s="27"/>
      <c r="E8" s="27"/>
      <c r="F8" s="27"/>
      <c r="G8" s="27"/>
      <c r="H8" s="27"/>
      <c r="I8" s="27"/>
      <c r="J8" s="27"/>
      <c r="K8" s="27"/>
      <c r="L8" s="27"/>
      <c r="M8" s="27"/>
      <c r="BD8" s="5">
        <v>0.16800000000000001</v>
      </c>
      <c r="BK8" s="5">
        <v>0.19400000000000001</v>
      </c>
      <c r="BP8"/>
      <c r="BR8"/>
      <c r="BS8"/>
      <c r="BU8" s="5">
        <v>0.25800000000000001</v>
      </c>
      <c r="CH8" s="44"/>
    </row>
    <row r="9" spans="1:86" x14ac:dyDescent="0.2">
      <c r="A9" s="3" t="s">
        <v>3</v>
      </c>
      <c r="B9" s="39">
        <v>455</v>
      </c>
      <c r="C9" s="82"/>
      <c r="D9" s="27"/>
      <c r="E9" s="27"/>
      <c r="F9" s="27"/>
      <c r="G9" s="27"/>
      <c r="H9" s="27"/>
      <c r="I9" s="27"/>
      <c r="J9" s="27"/>
      <c r="K9" s="27"/>
      <c r="L9" s="27"/>
      <c r="M9" s="27"/>
      <c r="BP9" s="5">
        <v>0.111</v>
      </c>
      <c r="BR9"/>
      <c r="BS9"/>
      <c r="BV9" s="5">
        <v>0.17699999999999999</v>
      </c>
      <c r="CH9" s="44"/>
    </row>
    <row r="10" spans="1:86" x14ac:dyDescent="0.2">
      <c r="A10" s="3" t="s">
        <v>3</v>
      </c>
      <c r="B10" s="39">
        <v>456</v>
      </c>
      <c r="C10" s="82"/>
      <c r="D10" s="27"/>
      <c r="E10" s="27"/>
      <c r="F10" s="27"/>
      <c r="G10" s="27"/>
      <c r="H10" s="27"/>
      <c r="I10" s="27"/>
      <c r="J10" s="27"/>
      <c r="K10" s="27"/>
      <c r="L10" s="27"/>
      <c r="M10" s="27"/>
      <c r="BE10" s="5">
        <v>0.19700000000000001</v>
      </c>
      <c r="BL10" s="5">
        <v>0.23100000000000001</v>
      </c>
      <c r="BP10"/>
      <c r="BR10"/>
      <c r="BS10"/>
      <c r="BW10" s="5">
        <v>0.247</v>
      </c>
      <c r="CH10" s="44"/>
    </row>
    <row r="11" spans="1:86" x14ac:dyDescent="0.2">
      <c r="A11" s="3" t="s">
        <v>3</v>
      </c>
      <c r="B11" s="39">
        <v>457</v>
      </c>
      <c r="C11" s="82"/>
      <c r="D11" s="27"/>
      <c r="E11" s="27"/>
      <c r="F11" s="27"/>
      <c r="G11" s="27"/>
      <c r="H11" s="27"/>
      <c r="I11" s="27"/>
      <c r="J11" s="27"/>
      <c r="K11" s="27"/>
      <c r="L11" s="27"/>
      <c r="M11" s="27"/>
      <c r="BE11" s="5"/>
      <c r="BL11" s="5"/>
      <c r="BP11"/>
      <c r="BR11"/>
      <c r="BS11"/>
      <c r="BV11" s="5">
        <v>0.52</v>
      </c>
      <c r="BW11" s="5"/>
      <c r="CC11" s="5">
        <v>0.433</v>
      </c>
      <c r="CH11" s="44"/>
    </row>
    <row r="12" spans="1:86" x14ac:dyDescent="0.2">
      <c r="A12" s="3" t="s">
        <v>3</v>
      </c>
      <c r="B12" s="39">
        <v>458</v>
      </c>
      <c r="C12" s="82"/>
      <c r="D12" s="27"/>
      <c r="E12" s="27"/>
      <c r="F12" s="27"/>
      <c r="G12" s="27"/>
      <c r="H12" s="27"/>
      <c r="I12" s="27"/>
      <c r="J12" s="27"/>
      <c r="K12" s="27"/>
      <c r="L12" s="27"/>
      <c r="M12" s="27"/>
      <c r="BF12" s="5">
        <v>0.31900000000000001</v>
      </c>
      <c r="BL12" s="5">
        <v>0.33900000000000002</v>
      </c>
      <c r="BP12"/>
      <c r="BR12"/>
      <c r="BS12"/>
      <c r="CA12" s="5">
        <v>0.35299999999999998</v>
      </c>
      <c r="CH12" s="44"/>
    </row>
    <row r="13" spans="1:86" x14ac:dyDescent="0.2">
      <c r="A13" s="3" t="s">
        <v>3</v>
      </c>
      <c r="B13" s="39">
        <v>459</v>
      </c>
      <c r="C13" s="82"/>
      <c r="D13" s="27"/>
      <c r="E13" s="27"/>
      <c r="F13" s="27"/>
      <c r="G13" s="27"/>
      <c r="H13" s="27"/>
      <c r="I13" s="27"/>
      <c r="J13" s="27"/>
      <c r="K13" s="27"/>
      <c r="L13" s="27"/>
      <c r="M13" s="27"/>
      <c r="BP13"/>
      <c r="BR13"/>
      <c r="BS13"/>
      <c r="BX13" s="5">
        <v>7.5999999999999998E-2</v>
      </c>
      <c r="BY13" s="5">
        <v>7.6999999999999999E-2</v>
      </c>
      <c r="BZ13" s="5">
        <v>7.9000000000000001E-2</v>
      </c>
      <c r="CA13" s="5">
        <v>6.2E-2</v>
      </c>
      <c r="CB13" s="5">
        <v>7.6999999999999999E-2</v>
      </c>
      <c r="CC13" s="5">
        <v>7.2999999999999995E-2</v>
      </c>
      <c r="CH13" s="44"/>
    </row>
    <row r="14" spans="1:86" x14ac:dyDescent="0.2">
      <c r="A14" s="3" t="s">
        <v>3</v>
      </c>
      <c r="B14" s="39">
        <v>459</v>
      </c>
      <c r="C14" s="82"/>
      <c r="D14" s="27"/>
      <c r="E14" s="27"/>
      <c r="F14" s="27"/>
      <c r="G14" s="27"/>
      <c r="H14" s="27"/>
      <c r="I14" s="27"/>
      <c r="J14" s="27"/>
      <c r="K14" s="27"/>
      <c r="L14" s="27"/>
      <c r="M14" s="27"/>
      <c r="BP14"/>
      <c r="BR14"/>
      <c r="BS14"/>
      <c r="BX14" s="5">
        <v>7.1999999999999995E-2</v>
      </c>
      <c r="BY14" s="5">
        <v>7.5999999999999998E-2</v>
      </c>
      <c r="BZ14" s="5">
        <v>7.4999999999999997E-2</v>
      </c>
      <c r="CA14" s="5">
        <v>8.4000000000000005E-2</v>
      </c>
      <c r="CB14" s="5">
        <v>8.4000000000000005E-2</v>
      </c>
      <c r="CC14" s="5">
        <v>8.8999999999999996E-2</v>
      </c>
      <c r="CH14" s="44"/>
    </row>
    <row r="15" spans="1:86" x14ac:dyDescent="0.2">
      <c r="A15" s="3" t="s">
        <v>3</v>
      </c>
      <c r="B15" s="39">
        <v>460</v>
      </c>
      <c r="C15" s="82"/>
      <c r="D15" s="27"/>
      <c r="E15" s="27"/>
      <c r="F15" s="27"/>
      <c r="G15" s="27"/>
      <c r="H15" s="27"/>
      <c r="I15" s="27"/>
      <c r="J15" s="27"/>
      <c r="K15" s="27"/>
      <c r="L15" s="27"/>
      <c r="M15" s="27"/>
      <c r="BH15" s="5">
        <v>9.2999999999999999E-2</v>
      </c>
      <c r="BI15" s="5">
        <v>0.09</v>
      </c>
      <c r="BJ15" s="5">
        <v>8.8999999999999996E-2</v>
      </c>
      <c r="BK15" s="5">
        <v>9.2999999999999999E-2</v>
      </c>
      <c r="BL15" s="5">
        <v>0.1</v>
      </c>
      <c r="BM15" s="5">
        <v>8.7999999999999995E-2</v>
      </c>
      <c r="BN15" s="5">
        <v>8.5999999999999993E-2</v>
      </c>
      <c r="BO15" s="5">
        <v>8.5999999999999993E-2</v>
      </c>
      <c r="BP15" s="5">
        <v>8.5999999999999993E-2</v>
      </c>
      <c r="BQ15" s="5">
        <v>0.08</v>
      </c>
      <c r="BR15" s="5">
        <v>7.5999999999999998E-2</v>
      </c>
      <c r="BS15" s="5">
        <v>0.08</v>
      </c>
      <c r="BT15" s="5">
        <v>7.8E-2</v>
      </c>
      <c r="BU15" s="5">
        <v>7.8E-2</v>
      </c>
      <c r="BV15" s="5">
        <v>7.2999999999999995E-2</v>
      </c>
      <c r="BW15" s="5">
        <v>7.4999999999999997E-2</v>
      </c>
      <c r="BX15" s="5">
        <v>7.5999999999999998E-2</v>
      </c>
      <c r="BY15" s="5">
        <v>7.6999999999999999E-2</v>
      </c>
      <c r="BZ15" s="5">
        <v>7.9000000000000001E-2</v>
      </c>
      <c r="CA15" s="5">
        <v>6.2E-2</v>
      </c>
      <c r="CB15" s="5">
        <v>7.6999999999999999E-2</v>
      </c>
      <c r="CC15" s="5">
        <v>7.2999999999999995E-2</v>
      </c>
      <c r="CH15" s="44"/>
    </row>
    <row r="16" spans="1:86" x14ac:dyDescent="0.2">
      <c r="A16" s="3" t="s">
        <v>3</v>
      </c>
      <c r="B16" s="39">
        <v>460</v>
      </c>
      <c r="C16" s="82"/>
      <c r="D16" s="27"/>
      <c r="E16" s="27"/>
      <c r="F16" s="27"/>
      <c r="G16" s="27"/>
      <c r="H16" s="27"/>
      <c r="I16" s="27"/>
      <c r="J16" s="27"/>
      <c r="K16" s="27"/>
      <c r="L16" s="27"/>
      <c r="M16" s="27"/>
      <c r="BI16" s="5">
        <v>0.01</v>
      </c>
      <c r="BJ16" s="1"/>
      <c r="BK16" s="1"/>
      <c r="BL16" s="5">
        <v>2.3E-2</v>
      </c>
      <c r="BM16" s="1"/>
      <c r="BN16" s="1"/>
      <c r="BO16" s="1"/>
      <c r="BP16" s="5">
        <v>7.0000000000000007E-2</v>
      </c>
      <c r="BR16"/>
      <c r="BS16"/>
      <c r="BT16" s="5">
        <v>0.106</v>
      </c>
      <c r="CH16" s="44"/>
    </row>
    <row r="17" spans="1:86" x14ac:dyDescent="0.2">
      <c r="A17" s="3" t="s">
        <v>3</v>
      </c>
      <c r="B17" s="39">
        <v>460</v>
      </c>
      <c r="C17" s="82"/>
      <c r="D17" s="27"/>
      <c r="E17" s="27"/>
      <c r="F17" s="27"/>
      <c r="G17" s="27"/>
      <c r="H17" s="27"/>
      <c r="I17" s="27"/>
      <c r="J17" s="27"/>
      <c r="K17" s="27"/>
      <c r="L17" s="27"/>
      <c r="M17" s="27"/>
      <c r="BP17"/>
      <c r="BR17"/>
      <c r="BS17"/>
      <c r="BT17" s="5">
        <v>0.13500000000000001</v>
      </c>
      <c r="BZ17" s="5">
        <v>0.16</v>
      </c>
      <c r="CB17" s="5">
        <v>0.17100000000000001</v>
      </c>
      <c r="CH17" s="44"/>
    </row>
    <row r="18" spans="1:86" x14ac:dyDescent="0.2">
      <c r="A18" s="3" t="s">
        <v>3</v>
      </c>
      <c r="B18" s="39">
        <v>460</v>
      </c>
      <c r="C18" s="82"/>
      <c r="D18" s="27"/>
      <c r="E18" s="27"/>
      <c r="F18" s="27"/>
      <c r="G18" s="27"/>
      <c r="H18" s="27"/>
      <c r="I18" s="27"/>
      <c r="J18" s="27"/>
      <c r="K18" s="27"/>
      <c r="L18" s="27"/>
      <c r="M18" s="27"/>
      <c r="BB18" s="5">
        <v>6.5000000000000002E-2</v>
      </c>
      <c r="BK18" s="1"/>
      <c r="BL18" s="1"/>
      <c r="BM18" s="1"/>
      <c r="BN18" s="1"/>
      <c r="BP18"/>
      <c r="BR18"/>
      <c r="BS18" s="5">
        <v>0.158</v>
      </c>
      <c r="BV18" s="1"/>
      <c r="BW18" s="1"/>
      <c r="BX18" s="1"/>
      <c r="BZ18" s="5">
        <v>0.17899999999999999</v>
      </c>
      <c r="CH18" s="44"/>
    </row>
    <row r="19" spans="1:86" x14ac:dyDescent="0.2">
      <c r="A19" s="3" t="s">
        <v>3</v>
      </c>
      <c r="B19" s="39">
        <v>460</v>
      </c>
      <c r="C19" s="82"/>
      <c r="D19" s="27"/>
      <c r="E19" s="27"/>
      <c r="F19" s="27"/>
      <c r="G19" s="27"/>
      <c r="H19" s="27"/>
      <c r="I19" s="27"/>
      <c r="J19" s="27"/>
      <c r="K19" s="27"/>
      <c r="L19" s="27"/>
      <c r="M19" s="27"/>
      <c r="BJ19" s="1"/>
      <c r="BK19" s="1"/>
      <c r="BL19" s="1"/>
      <c r="BM19" s="1"/>
      <c r="BN19" s="1"/>
      <c r="BO19" s="1"/>
      <c r="BP19"/>
      <c r="BR19"/>
      <c r="BS19" s="5">
        <v>0.16700000000000001</v>
      </c>
      <c r="BV19" s="5">
        <v>0.17</v>
      </c>
      <c r="BZ19" s="5">
        <v>0.22</v>
      </c>
      <c r="CH19" s="44"/>
    </row>
    <row r="20" spans="1:86" x14ac:dyDescent="0.2">
      <c r="A20" s="3" t="s">
        <v>3</v>
      </c>
      <c r="B20" s="39">
        <v>460</v>
      </c>
      <c r="C20" s="82"/>
      <c r="D20" s="27"/>
      <c r="E20" s="27"/>
      <c r="F20" s="27"/>
      <c r="G20" s="27"/>
      <c r="H20" s="27"/>
      <c r="I20" s="27"/>
      <c r="J20" s="27"/>
      <c r="K20" s="27"/>
      <c r="L20" s="27"/>
      <c r="M20" s="27"/>
      <c r="BA20" s="5">
        <v>0.129</v>
      </c>
      <c r="BI20" s="5">
        <v>0.22500000000000001</v>
      </c>
      <c r="BK20" s="1"/>
      <c r="BL20" s="1"/>
      <c r="BM20" s="1"/>
      <c r="BP20"/>
      <c r="BR20"/>
      <c r="BS20"/>
      <c r="CH20" s="44"/>
    </row>
    <row r="21" spans="1:86" x14ac:dyDescent="0.2">
      <c r="A21" s="3" t="s">
        <v>3</v>
      </c>
      <c r="B21" s="39">
        <v>460</v>
      </c>
      <c r="C21" s="82"/>
      <c r="D21" s="27"/>
      <c r="E21" s="27"/>
      <c r="F21" s="27"/>
      <c r="G21" s="27"/>
      <c r="H21" s="27"/>
      <c r="I21" s="27"/>
      <c r="J21" s="27"/>
      <c r="K21" s="27"/>
      <c r="L21" s="27"/>
      <c r="M21" s="27"/>
      <c r="BA21" s="5">
        <v>0.16700000000000001</v>
      </c>
      <c r="BI21" s="5">
        <v>0.23699999999999999</v>
      </c>
      <c r="BJ21" s="1"/>
      <c r="BK21" s="1"/>
      <c r="BP21"/>
      <c r="BR21"/>
      <c r="BS21"/>
      <c r="CH21" s="44"/>
    </row>
    <row r="22" spans="1:86" x14ac:dyDescent="0.2">
      <c r="A22" s="3" t="s">
        <v>3</v>
      </c>
      <c r="B22" s="39">
        <v>460</v>
      </c>
      <c r="C22" s="82"/>
      <c r="D22" s="27"/>
      <c r="E22" s="27"/>
      <c r="F22" s="27"/>
      <c r="G22" s="27"/>
      <c r="H22" s="27"/>
      <c r="I22" s="27"/>
      <c r="J22" s="27"/>
      <c r="K22" s="27"/>
      <c r="L22" s="27"/>
      <c r="M22" s="27"/>
      <c r="BB22" s="5">
        <v>0.08</v>
      </c>
      <c r="BI22" s="5">
        <v>0.156</v>
      </c>
      <c r="BP22"/>
      <c r="BR22"/>
      <c r="BS22" s="5">
        <v>0.17899999999999999</v>
      </c>
      <c r="BV22" s="5">
        <v>0.187</v>
      </c>
      <c r="BZ22" s="5">
        <v>0.189</v>
      </c>
      <c r="CB22" s="5">
        <v>0.20699999999999999</v>
      </c>
      <c r="CH22" s="44"/>
    </row>
    <row r="23" spans="1:86" x14ac:dyDescent="0.2">
      <c r="A23" s="3" t="s">
        <v>3</v>
      </c>
      <c r="B23" s="39">
        <v>460</v>
      </c>
      <c r="C23" s="82"/>
      <c r="D23" s="27"/>
      <c r="E23" s="27"/>
      <c r="F23" s="27"/>
      <c r="G23" s="27"/>
      <c r="H23" s="27"/>
      <c r="I23" s="27"/>
      <c r="J23" s="27"/>
      <c r="K23" s="27"/>
      <c r="L23" s="27"/>
      <c r="M23" s="27"/>
      <c r="BH23" s="5">
        <v>0.29399999999999998</v>
      </c>
      <c r="BM23" s="5">
        <v>0.30299999999999999</v>
      </c>
      <c r="BP23"/>
      <c r="BR23" s="5">
        <v>0.32200000000000001</v>
      </c>
      <c r="BS23"/>
      <c r="BW23" s="5">
        <v>0.32600000000000001</v>
      </c>
      <c r="CH23" s="44"/>
    </row>
    <row r="24" spans="1:86" x14ac:dyDescent="0.2">
      <c r="A24" s="3" t="s">
        <v>3</v>
      </c>
      <c r="B24" s="39">
        <v>460</v>
      </c>
      <c r="C24" s="82"/>
      <c r="D24" s="27"/>
      <c r="E24" s="27"/>
      <c r="F24" s="27"/>
      <c r="G24" s="27"/>
      <c r="H24" s="27"/>
      <c r="I24" s="27"/>
      <c r="J24" s="27"/>
      <c r="K24" s="27"/>
      <c r="L24" s="27"/>
      <c r="M24" s="27"/>
      <c r="BH24" s="5">
        <v>0.219</v>
      </c>
      <c r="BP24"/>
      <c r="BR24" s="5">
        <v>0.30499999999999999</v>
      </c>
      <c r="BS24"/>
      <c r="CH24" s="44"/>
    </row>
    <row r="25" spans="1:86" x14ac:dyDescent="0.2">
      <c r="A25" s="3" t="s">
        <v>3</v>
      </c>
      <c r="B25" s="39">
        <v>460</v>
      </c>
      <c r="C25" s="82"/>
      <c r="D25" s="27"/>
      <c r="E25" s="27"/>
      <c r="F25" s="27"/>
      <c r="G25" s="27"/>
      <c r="H25" s="27"/>
      <c r="I25" s="27"/>
      <c r="J25" s="27"/>
      <c r="K25" s="27"/>
      <c r="L25" s="27"/>
      <c r="M25" s="27"/>
      <c r="BF25" s="1"/>
      <c r="BG25" s="1"/>
      <c r="BH25" s="5">
        <v>8.1000000000000003E-2</v>
      </c>
      <c r="BI25" s="1"/>
      <c r="BJ25" s="1"/>
      <c r="BK25" s="1"/>
      <c r="BP25" s="1"/>
      <c r="BQ25" s="1"/>
      <c r="BR25" s="5">
        <v>0.13200000000000001</v>
      </c>
      <c r="BS25" s="1"/>
      <c r="CH25" s="44"/>
    </row>
    <row r="26" spans="1:86" x14ac:dyDescent="0.2">
      <c r="A26" s="3" t="s">
        <v>3</v>
      </c>
      <c r="B26" s="39">
        <v>460</v>
      </c>
      <c r="C26" s="82"/>
      <c r="D26" s="27"/>
      <c r="E26" s="27"/>
      <c r="F26" s="27"/>
      <c r="G26" s="27"/>
      <c r="H26" s="27"/>
      <c r="I26" s="27"/>
      <c r="J26" s="27"/>
      <c r="K26" s="27"/>
      <c r="L26" s="27"/>
      <c r="M26" s="27"/>
      <c r="BC26" s="5">
        <v>0.13300000000000001</v>
      </c>
      <c r="BF26" s="5">
        <v>0.159</v>
      </c>
      <c r="BL26" s="1"/>
      <c r="BM26" s="1"/>
      <c r="BP26"/>
      <c r="BR26"/>
      <c r="BS26"/>
      <c r="CH26" s="44"/>
    </row>
    <row r="27" spans="1:86" x14ac:dyDescent="0.2">
      <c r="A27" s="3" t="s">
        <v>3</v>
      </c>
      <c r="B27" s="39">
        <v>460</v>
      </c>
      <c r="C27" s="82"/>
      <c r="D27" s="27"/>
      <c r="E27" s="27"/>
      <c r="F27" s="27"/>
      <c r="G27" s="27"/>
      <c r="H27" s="27"/>
      <c r="I27" s="27"/>
      <c r="J27" s="27"/>
      <c r="K27" s="27"/>
      <c r="L27" s="27"/>
      <c r="M27" s="27"/>
      <c r="BC27" s="5">
        <v>0.22900000000000001</v>
      </c>
      <c r="BF27" s="5">
        <v>0.246</v>
      </c>
      <c r="BJ27" s="1"/>
      <c r="BK27" s="1"/>
      <c r="BP27"/>
      <c r="BR27"/>
      <c r="BS27"/>
      <c r="CH27" s="44"/>
    </row>
    <row r="28" spans="1:86" x14ac:dyDescent="0.2">
      <c r="A28" s="3" t="s">
        <v>3</v>
      </c>
      <c r="B28" s="39">
        <v>460</v>
      </c>
      <c r="C28" s="82"/>
      <c r="D28" s="27"/>
      <c r="E28" s="27"/>
      <c r="F28" s="27"/>
      <c r="G28" s="27"/>
      <c r="H28" s="27"/>
      <c r="I28" s="27"/>
      <c r="J28" s="27"/>
      <c r="K28" s="27"/>
      <c r="L28" s="27"/>
      <c r="M28" s="27"/>
      <c r="BD28" s="5">
        <v>0.16800000000000001</v>
      </c>
      <c r="BK28" s="5">
        <v>0.19400000000000001</v>
      </c>
      <c r="BM28" s="1"/>
      <c r="BN28" s="1"/>
      <c r="BP28"/>
      <c r="BR28"/>
      <c r="BS28"/>
      <c r="BU28" s="5">
        <v>0.25800000000000001</v>
      </c>
      <c r="CH28" s="44"/>
    </row>
    <row r="29" spans="1:86" x14ac:dyDescent="0.2">
      <c r="A29" s="3" t="s">
        <v>3</v>
      </c>
      <c r="B29" s="39">
        <v>460</v>
      </c>
      <c r="C29" s="82"/>
      <c r="D29" s="27"/>
      <c r="E29" s="27"/>
      <c r="F29" s="27"/>
      <c r="G29" s="27"/>
      <c r="H29" s="27"/>
      <c r="I29" s="27"/>
      <c r="J29" s="27"/>
      <c r="K29" s="27"/>
      <c r="L29" s="27"/>
      <c r="M29" s="27"/>
      <c r="BN29" s="5">
        <v>4.8000000000000001E-2</v>
      </c>
      <c r="BP29"/>
      <c r="BR29"/>
      <c r="BS29"/>
      <c r="BW29" s="5">
        <v>7.6999999999999999E-2</v>
      </c>
      <c r="CH29" s="44"/>
    </row>
    <row r="30" spans="1:86" x14ac:dyDescent="0.2">
      <c r="A30" s="3" t="s">
        <v>3</v>
      </c>
      <c r="B30" s="39">
        <v>460</v>
      </c>
      <c r="C30" s="82"/>
      <c r="D30" s="27"/>
      <c r="E30" s="27"/>
      <c r="F30" s="27"/>
      <c r="G30" s="27"/>
      <c r="H30" s="27"/>
      <c r="I30" s="27"/>
      <c r="J30" s="27"/>
      <c r="K30" s="27"/>
      <c r="L30" s="27"/>
      <c r="M30" s="27"/>
      <c r="BI30" s="5">
        <v>0.01</v>
      </c>
      <c r="BP30"/>
      <c r="BR30" s="5">
        <v>5.6000000000000001E-2</v>
      </c>
      <c r="BS30"/>
      <c r="CH30" s="44"/>
    </row>
    <row r="31" spans="1:86" x14ac:dyDescent="0.2">
      <c r="A31" s="3" t="s">
        <v>3</v>
      </c>
      <c r="B31" s="39">
        <v>460</v>
      </c>
      <c r="C31" s="82"/>
      <c r="D31" s="27"/>
      <c r="E31" s="27"/>
      <c r="F31" s="27"/>
      <c r="G31" s="27"/>
      <c r="H31" s="27"/>
      <c r="I31" s="27"/>
      <c r="J31" s="27"/>
      <c r="K31" s="27"/>
      <c r="L31" s="27"/>
      <c r="M31" s="27"/>
      <c r="AK31" s="7"/>
      <c r="AL31" s="7"/>
      <c r="AM31" s="5">
        <v>5.7299999999999997E-2</v>
      </c>
      <c r="BG31" s="5">
        <v>0.184</v>
      </c>
      <c r="BI31" s="1"/>
      <c r="BJ31" s="1"/>
      <c r="BP31"/>
      <c r="BR31"/>
      <c r="BS31"/>
      <c r="CH31" s="44"/>
    </row>
    <row r="32" spans="1:86" x14ac:dyDescent="0.2">
      <c r="A32" s="3" t="s">
        <v>3</v>
      </c>
      <c r="B32" s="39">
        <v>460</v>
      </c>
      <c r="C32" s="82"/>
      <c r="D32" s="27"/>
      <c r="E32" s="27"/>
      <c r="F32" s="27"/>
      <c r="G32" s="27"/>
      <c r="H32" s="27"/>
      <c r="I32" s="27"/>
      <c r="J32" s="27"/>
      <c r="K32" s="27"/>
      <c r="L32" s="27"/>
      <c r="M32" s="27"/>
      <c r="BC32" s="5">
        <v>0.20499999999999999</v>
      </c>
      <c r="BJ32" s="1"/>
      <c r="BK32" s="5">
        <v>0.25</v>
      </c>
      <c r="BL32" s="1"/>
      <c r="BM32" s="1"/>
      <c r="BN32" s="1"/>
      <c r="BO32" s="1"/>
      <c r="BP32"/>
      <c r="BR32"/>
      <c r="BS32"/>
      <c r="CH32" s="44"/>
    </row>
    <row r="33" spans="1:86" x14ac:dyDescent="0.2">
      <c r="A33" s="3" t="s">
        <v>3</v>
      </c>
      <c r="B33" s="39">
        <v>460</v>
      </c>
      <c r="C33" s="82"/>
      <c r="D33" s="27"/>
      <c r="E33" s="27"/>
      <c r="F33" s="27"/>
      <c r="G33" s="27"/>
      <c r="H33" s="27"/>
      <c r="I33" s="27"/>
      <c r="J33" s="27"/>
      <c r="K33" s="27"/>
      <c r="L33" s="27"/>
      <c r="M33" s="27"/>
      <c r="BA33" s="5">
        <v>0.216</v>
      </c>
      <c r="BC33" s="5"/>
      <c r="BJ33" s="1"/>
      <c r="BK33" s="5">
        <v>0.309</v>
      </c>
      <c r="BL33" s="1"/>
      <c r="BM33" s="1"/>
      <c r="BN33" s="1"/>
      <c r="BO33" s="1"/>
      <c r="BP33"/>
      <c r="BR33"/>
      <c r="BS33"/>
      <c r="CH33" s="44"/>
    </row>
    <row r="34" spans="1:86" x14ac:dyDescent="0.2">
      <c r="A34" s="3" t="s">
        <v>3</v>
      </c>
      <c r="B34" s="39">
        <v>460</v>
      </c>
      <c r="C34" s="82"/>
      <c r="D34" s="27"/>
      <c r="E34" s="27"/>
      <c r="F34" s="27"/>
      <c r="G34" s="27"/>
      <c r="H34" s="27"/>
      <c r="I34" s="27"/>
      <c r="J34" s="27"/>
      <c r="K34" s="27"/>
      <c r="L34" s="27"/>
      <c r="M34" s="27"/>
      <c r="AU34" s="1"/>
      <c r="AV34" s="1"/>
      <c r="AW34" s="1"/>
      <c r="BJ34" s="6"/>
      <c r="BK34" s="5"/>
      <c r="BL34" s="5"/>
      <c r="BM34" s="6"/>
      <c r="BN34" s="5"/>
      <c r="BO34" s="5"/>
      <c r="BP34"/>
      <c r="BR34"/>
      <c r="BS34" s="5">
        <v>0.26900000000000002</v>
      </c>
      <c r="CA34" s="5">
        <v>0.28599999999999998</v>
      </c>
      <c r="CH34" s="44"/>
    </row>
    <row r="35" spans="1:86" x14ac:dyDescent="0.2">
      <c r="A35" s="3" t="s">
        <v>3</v>
      </c>
      <c r="B35" s="39">
        <v>460</v>
      </c>
      <c r="C35" s="82"/>
      <c r="D35" s="27"/>
      <c r="E35" s="27"/>
      <c r="F35" s="27"/>
      <c r="G35" s="27"/>
      <c r="H35" s="27"/>
      <c r="I35" s="27"/>
      <c r="J35" s="27"/>
      <c r="K35" s="27"/>
      <c r="L35" s="27"/>
      <c r="M35" s="27"/>
      <c r="AQ35" s="5">
        <v>0.219</v>
      </c>
      <c r="BA35" s="5">
        <v>0.46700000000000003</v>
      </c>
      <c r="BP35"/>
      <c r="BR35"/>
      <c r="BS35"/>
      <c r="CH35" s="44"/>
    </row>
    <row r="36" spans="1:86" x14ac:dyDescent="0.2">
      <c r="A36" s="3" t="s">
        <v>3</v>
      </c>
      <c r="B36" s="39">
        <v>461</v>
      </c>
      <c r="C36" s="82"/>
      <c r="D36" s="27"/>
      <c r="E36" s="27"/>
      <c r="F36" s="27"/>
      <c r="G36" s="27"/>
      <c r="H36" s="27"/>
      <c r="I36" s="27"/>
      <c r="J36" s="27"/>
      <c r="K36" s="27"/>
      <c r="L36" s="27"/>
      <c r="M36" s="27"/>
      <c r="AQ36" s="5"/>
      <c r="BA36" s="5"/>
      <c r="BP36" s="5">
        <v>7.7899999999999997E-2</v>
      </c>
      <c r="BR36"/>
      <c r="BS36" s="5">
        <v>9.0800000000000006E-2</v>
      </c>
      <c r="CH36" s="44"/>
    </row>
    <row r="37" spans="1:86" x14ac:dyDescent="0.2">
      <c r="A37" s="3" t="s">
        <v>3</v>
      </c>
      <c r="B37" s="39">
        <v>461</v>
      </c>
      <c r="C37" s="82"/>
      <c r="D37" s="27"/>
      <c r="E37" s="27"/>
      <c r="F37" s="27"/>
      <c r="G37" s="27"/>
      <c r="H37" s="27"/>
      <c r="I37" s="27"/>
      <c r="J37" s="27"/>
      <c r="K37" s="27"/>
      <c r="L37" s="27"/>
      <c r="M37" s="27"/>
      <c r="AQ37" s="5"/>
      <c r="BA37" s="5"/>
      <c r="BN37" s="5">
        <v>1.2999999999999999E-2</v>
      </c>
      <c r="BO37" s="5">
        <v>1.4999999999999999E-2</v>
      </c>
      <c r="BP37" s="5">
        <v>1.7000000000000001E-2</v>
      </c>
      <c r="BQ37" s="5">
        <v>1.9E-2</v>
      </c>
      <c r="BR37" s="5">
        <v>2.1000000000000001E-2</v>
      </c>
      <c r="BS37" s="5">
        <v>2.4E-2</v>
      </c>
      <c r="BT37" s="5">
        <v>2.9000000000000001E-2</v>
      </c>
      <c r="BU37" s="5">
        <v>0.03</v>
      </c>
      <c r="BV37" s="5">
        <v>3.1E-2</v>
      </c>
      <c r="CH37" s="44"/>
    </row>
    <row r="38" spans="1:86" x14ac:dyDescent="0.2">
      <c r="A38" s="3" t="s">
        <v>3</v>
      </c>
      <c r="B38" s="39">
        <v>461</v>
      </c>
      <c r="C38" s="82"/>
      <c r="D38" s="27"/>
      <c r="E38" s="27"/>
      <c r="F38" s="27"/>
      <c r="G38" s="27"/>
      <c r="H38" s="27"/>
      <c r="I38" s="27"/>
      <c r="J38" s="27"/>
      <c r="K38" s="27"/>
      <c r="L38" s="27"/>
      <c r="M38" s="27"/>
      <c r="AQ38" s="5"/>
      <c r="BA38" s="5"/>
      <c r="BP38"/>
      <c r="BR38"/>
      <c r="BS38"/>
      <c r="BT38" s="5">
        <v>0.113</v>
      </c>
      <c r="BU38" s="5">
        <v>0.11899999999999999</v>
      </c>
      <c r="BV38" s="5">
        <v>0.11799999999999999</v>
      </c>
      <c r="BW38" s="5">
        <v>0.127</v>
      </c>
      <c r="BX38" s="5">
        <v>0.128</v>
      </c>
      <c r="BY38" s="5">
        <v>0.13300000000000001</v>
      </c>
      <c r="CH38" s="44"/>
    </row>
    <row r="39" spans="1:86" x14ac:dyDescent="0.2">
      <c r="A39" s="3" t="s">
        <v>3</v>
      </c>
      <c r="B39" s="39">
        <v>79</v>
      </c>
      <c r="C39" s="82"/>
      <c r="D39" s="27"/>
      <c r="E39" s="27"/>
      <c r="F39" s="27"/>
      <c r="G39" s="27"/>
      <c r="H39" s="27"/>
      <c r="I39" s="27"/>
      <c r="J39" s="27"/>
      <c r="K39" s="27"/>
      <c r="L39" s="27"/>
      <c r="M39" s="27"/>
      <c r="AQ39" s="5"/>
      <c r="BA39" s="5"/>
      <c r="BH39" s="5">
        <v>0.12</v>
      </c>
      <c r="BJ39" s="5">
        <v>0.108</v>
      </c>
      <c r="BL39" s="5">
        <v>0.126</v>
      </c>
      <c r="BN39" s="5">
        <v>0.115</v>
      </c>
      <c r="BP39" s="5">
        <v>0.11700000000000001</v>
      </c>
      <c r="BR39" s="5">
        <v>9.6000000000000002E-2</v>
      </c>
      <c r="BS39"/>
      <c r="BT39" s="5"/>
      <c r="BU39" s="5"/>
      <c r="BV39" s="5"/>
      <c r="BW39" s="5"/>
      <c r="BX39" s="5"/>
      <c r="BY39" s="5"/>
      <c r="CH39" s="44"/>
    </row>
    <row r="40" spans="1:86" x14ac:dyDescent="0.2">
      <c r="A40" s="3" t="s">
        <v>3</v>
      </c>
      <c r="B40" s="39">
        <v>79</v>
      </c>
      <c r="C40" s="82"/>
      <c r="D40" s="27"/>
      <c r="E40" s="27"/>
      <c r="F40" s="27"/>
      <c r="G40" s="27"/>
      <c r="H40" s="27"/>
      <c r="I40" s="27"/>
      <c r="J40" s="27"/>
      <c r="K40" s="27"/>
      <c r="L40" s="27"/>
      <c r="M40" s="27"/>
      <c r="AQ40" s="5"/>
      <c r="BA40" s="5"/>
      <c r="BH40" s="5">
        <v>0.104</v>
      </c>
      <c r="BJ40" s="5">
        <v>0.10299999999999999</v>
      </c>
      <c r="BL40" s="5">
        <v>0.10199999999999999</v>
      </c>
      <c r="BN40" s="5">
        <v>9.7000000000000003E-2</v>
      </c>
      <c r="BP40" s="5">
        <v>0.105</v>
      </c>
      <c r="BR40" s="5">
        <v>0.10100000000000001</v>
      </c>
      <c r="BS40"/>
      <c r="BT40" s="5"/>
      <c r="BU40" s="5"/>
      <c r="BV40" s="5"/>
      <c r="BW40" s="5"/>
      <c r="BX40" s="5"/>
      <c r="BY40" s="5"/>
      <c r="CH40" s="44"/>
    </row>
    <row r="41" spans="1:86" x14ac:dyDescent="0.2">
      <c r="A41" s="3" t="s">
        <v>3</v>
      </c>
      <c r="B41" s="39">
        <v>462</v>
      </c>
      <c r="C41" s="82"/>
      <c r="D41" s="27"/>
      <c r="E41" s="27"/>
      <c r="F41" s="27"/>
      <c r="G41" s="27"/>
      <c r="H41" s="27"/>
      <c r="I41" s="27"/>
      <c r="J41" s="27"/>
      <c r="K41" s="27"/>
      <c r="L41" s="27"/>
      <c r="M41" s="27"/>
      <c r="AQ41" s="5"/>
      <c r="BA41" s="5"/>
      <c r="BH41" s="5"/>
      <c r="BJ41" s="5"/>
      <c r="BL41" s="5"/>
      <c r="BN41" s="5"/>
      <c r="BP41" s="5"/>
      <c r="BR41" s="8"/>
      <c r="BT41" s="5"/>
      <c r="BU41" s="5"/>
      <c r="BV41" s="5"/>
      <c r="BW41" s="5"/>
      <c r="BX41" s="5"/>
      <c r="BY41" s="5"/>
      <c r="BZ41" s="9">
        <v>6.9000000000000006E-2</v>
      </c>
      <c r="CB41" s="9">
        <v>0.09</v>
      </c>
      <c r="CH41" s="44"/>
    </row>
    <row r="42" spans="1:86" x14ac:dyDescent="0.2">
      <c r="A42" s="3" t="s">
        <v>3</v>
      </c>
      <c r="B42" s="39">
        <v>462</v>
      </c>
      <c r="C42" s="82"/>
      <c r="D42" s="27"/>
      <c r="E42" s="27"/>
      <c r="F42" s="27"/>
      <c r="G42" s="27"/>
      <c r="H42" s="27"/>
      <c r="I42" s="27"/>
      <c r="J42" s="27"/>
      <c r="K42" s="27"/>
      <c r="L42" s="27"/>
      <c r="M42" s="27"/>
      <c r="AQ42" s="5"/>
      <c r="BA42" s="5"/>
      <c r="BH42" s="5"/>
      <c r="BJ42" s="5"/>
      <c r="BL42" s="5"/>
      <c r="BN42" s="5"/>
      <c r="BP42" s="5"/>
      <c r="BR42" s="8"/>
      <c r="BT42" s="5"/>
      <c r="BU42" s="5"/>
      <c r="BV42" s="5"/>
      <c r="BW42" s="5"/>
      <c r="BX42" s="5"/>
      <c r="BY42" s="5"/>
      <c r="BZ42" s="9">
        <v>0.19700000000000001</v>
      </c>
      <c r="CB42" s="9">
        <v>0.20200000000000001</v>
      </c>
      <c r="CH42" s="44"/>
    </row>
    <row r="43" spans="1:86" x14ac:dyDescent="0.2">
      <c r="A43" s="3" t="s">
        <v>3</v>
      </c>
      <c r="B43" s="39">
        <v>462</v>
      </c>
      <c r="C43" s="82"/>
      <c r="D43" s="27"/>
      <c r="E43" s="27"/>
      <c r="F43" s="27"/>
      <c r="G43" s="27"/>
      <c r="H43" s="27"/>
      <c r="I43" s="27"/>
      <c r="J43" s="27"/>
      <c r="K43" s="27"/>
      <c r="L43" s="27"/>
      <c r="M43" s="27"/>
      <c r="AQ43" s="5"/>
      <c r="BA43" s="5"/>
      <c r="BH43" s="5"/>
      <c r="BJ43" s="5"/>
      <c r="BL43" s="5"/>
      <c r="BN43" s="5"/>
      <c r="BP43" s="5"/>
      <c r="BR43" s="8"/>
      <c r="BT43" s="5"/>
      <c r="BU43" s="5"/>
      <c r="BV43" s="5"/>
      <c r="BW43" s="5"/>
      <c r="BX43" s="5"/>
      <c r="BY43" s="5"/>
      <c r="BZ43" s="9">
        <v>0.24299999999999999</v>
      </c>
      <c r="CB43" s="9">
        <v>0.27600000000000002</v>
      </c>
      <c r="CH43" s="44"/>
    </row>
    <row r="44" spans="1:86" x14ac:dyDescent="0.2">
      <c r="A44" s="3" t="s">
        <v>3</v>
      </c>
      <c r="B44" s="39">
        <v>462</v>
      </c>
      <c r="C44" s="82"/>
      <c r="D44" s="27"/>
      <c r="E44" s="27"/>
      <c r="F44" s="27"/>
      <c r="G44" s="27"/>
      <c r="H44" s="27"/>
      <c r="I44" s="27"/>
      <c r="J44" s="27"/>
      <c r="K44" s="27"/>
      <c r="L44" s="27"/>
      <c r="M44" s="27"/>
      <c r="AQ44" s="5"/>
      <c r="BA44" s="5"/>
      <c r="BH44" s="5"/>
      <c r="BJ44" s="5"/>
      <c r="BL44" s="5"/>
      <c r="BN44" s="5"/>
      <c r="BP44" s="5"/>
      <c r="BR44" s="8"/>
      <c r="BT44" s="5"/>
      <c r="BU44" s="5"/>
      <c r="BV44" s="5"/>
      <c r="BW44" s="5"/>
      <c r="BX44" s="5"/>
      <c r="BY44" s="5"/>
      <c r="BZ44" s="9">
        <v>0.16</v>
      </c>
      <c r="CB44" s="9">
        <v>0.17100000000000001</v>
      </c>
      <c r="CH44" s="44"/>
    </row>
    <row r="45" spans="1:86" x14ac:dyDescent="0.2">
      <c r="A45" s="3" t="s">
        <v>3</v>
      </c>
      <c r="B45" s="39">
        <v>462</v>
      </c>
      <c r="C45" s="82"/>
      <c r="D45" s="27"/>
      <c r="E45" s="27"/>
      <c r="F45" s="27"/>
      <c r="G45" s="27"/>
      <c r="H45" s="27"/>
      <c r="I45" s="27"/>
      <c r="J45" s="27"/>
      <c r="K45" s="27"/>
      <c r="L45" s="27"/>
      <c r="M45" s="27"/>
      <c r="AQ45" s="5"/>
      <c r="BA45" s="5"/>
      <c r="BH45" s="5"/>
      <c r="BJ45" s="5"/>
      <c r="BL45" s="5"/>
      <c r="BN45" s="5"/>
      <c r="BP45" s="5"/>
      <c r="BR45" s="8"/>
      <c r="BT45" s="5"/>
      <c r="BU45" s="5"/>
      <c r="BV45" s="5"/>
      <c r="BW45" s="5"/>
      <c r="BX45" s="5"/>
      <c r="BY45" s="5"/>
      <c r="BZ45" s="9">
        <v>5.8000000000000003E-2</v>
      </c>
      <c r="CB45" s="9">
        <v>6.9000000000000006E-2</v>
      </c>
      <c r="CH45" s="44"/>
    </row>
    <row r="46" spans="1:86" x14ac:dyDescent="0.2">
      <c r="A46" s="3" t="s">
        <v>3</v>
      </c>
      <c r="B46" s="39">
        <v>463</v>
      </c>
      <c r="C46" s="82"/>
      <c r="D46" s="27"/>
      <c r="E46" s="27"/>
      <c r="F46" s="27"/>
      <c r="G46" s="27"/>
      <c r="H46" s="27"/>
      <c r="I46" s="27"/>
      <c r="J46" s="27"/>
      <c r="K46" s="27"/>
      <c r="L46" s="27"/>
      <c r="M46" s="27"/>
      <c r="AK46" s="9">
        <v>0.13100000000000001</v>
      </c>
      <c r="AQ46" s="5"/>
      <c r="AW46" s="9">
        <v>0.246</v>
      </c>
      <c r="BA46" s="5"/>
      <c r="BH46" s="5"/>
      <c r="BJ46" s="5"/>
      <c r="BL46" s="5"/>
      <c r="BN46" s="5"/>
      <c r="BP46" s="5"/>
      <c r="BR46" s="8"/>
      <c r="BT46" s="5"/>
      <c r="BU46" s="5"/>
      <c r="BV46" s="5"/>
      <c r="BW46" s="5"/>
      <c r="BX46" s="5"/>
      <c r="BY46" s="5"/>
      <c r="CH46" s="44"/>
    </row>
    <row r="47" spans="1:86" s="46" customFormat="1" x14ac:dyDescent="0.2">
      <c r="A47" s="38" t="s">
        <v>3</v>
      </c>
      <c r="B47" s="40">
        <v>463</v>
      </c>
      <c r="C47" s="83"/>
      <c r="D47" s="45"/>
      <c r="E47" s="45"/>
      <c r="F47" s="45"/>
      <c r="G47" s="45"/>
      <c r="H47" s="45"/>
      <c r="I47" s="45"/>
      <c r="J47" s="45"/>
      <c r="K47" s="45"/>
      <c r="L47" s="45"/>
      <c r="M47" s="45"/>
      <c r="AK47" s="47">
        <v>0.109</v>
      </c>
      <c r="AQ47" s="48"/>
      <c r="AW47" s="47">
        <v>0.219</v>
      </c>
      <c r="BA47" s="48"/>
      <c r="BH47" s="48"/>
      <c r="BJ47" s="48"/>
      <c r="BL47" s="48"/>
      <c r="BN47" s="48"/>
      <c r="BP47" s="48"/>
      <c r="BR47" s="49"/>
      <c r="BS47" s="50"/>
      <c r="BT47" s="48"/>
      <c r="BU47" s="48"/>
      <c r="BV47" s="48"/>
      <c r="BW47" s="48"/>
      <c r="BX47" s="48"/>
      <c r="BY47" s="48"/>
      <c r="CH47" s="51"/>
    </row>
    <row r="48" spans="1:86" x14ac:dyDescent="0.2">
      <c r="A48" s="3" t="s">
        <v>1</v>
      </c>
      <c r="B48" s="39">
        <v>464</v>
      </c>
      <c r="C48" s="82"/>
      <c r="D48" s="27"/>
      <c r="E48" s="27"/>
      <c r="F48" s="27"/>
      <c r="G48" s="27"/>
      <c r="H48" s="27"/>
      <c r="I48" s="27"/>
      <c r="J48" s="27"/>
      <c r="K48" s="27"/>
      <c r="L48" s="27"/>
      <c r="M48" s="27"/>
      <c r="CA48" s="10">
        <v>1.1800000000000001E-3</v>
      </c>
      <c r="CB48" s="10">
        <v>1.25E-3</v>
      </c>
      <c r="CC48" s="10">
        <v>1.2999999999999999E-3</v>
      </c>
      <c r="CD48" s="10">
        <v>1.32E-3</v>
      </c>
      <c r="CH48" s="44"/>
    </row>
    <row r="49" spans="1:86" x14ac:dyDescent="0.2">
      <c r="A49" s="3" t="s">
        <v>1</v>
      </c>
      <c r="B49" s="39">
        <v>464</v>
      </c>
      <c r="C49" s="82"/>
      <c r="D49" s="27"/>
      <c r="E49" s="27"/>
      <c r="F49" s="27"/>
      <c r="G49" s="27"/>
      <c r="H49" s="27"/>
      <c r="I49" s="27"/>
      <c r="J49" s="27"/>
      <c r="K49" s="27"/>
      <c r="L49" s="27"/>
      <c r="M49" s="27"/>
      <c r="CA49" s="10">
        <v>6.4999999999999997E-4</v>
      </c>
      <c r="CB49" s="10">
        <v>7.2000000000000005E-4</v>
      </c>
      <c r="CC49" s="10">
        <v>7.7999999999999999E-4</v>
      </c>
      <c r="CD49" s="10">
        <v>7.6999999999999996E-4</v>
      </c>
      <c r="CH49" s="44"/>
    </row>
    <row r="50" spans="1:86" x14ac:dyDescent="0.2">
      <c r="A50" s="3" t="s">
        <v>1</v>
      </c>
      <c r="B50" s="39">
        <v>465</v>
      </c>
      <c r="C50" s="82"/>
      <c r="D50" s="27"/>
      <c r="E50" s="27"/>
      <c r="F50" s="27"/>
      <c r="G50" s="27"/>
      <c r="H50" s="27"/>
      <c r="I50" s="27"/>
      <c r="J50" s="27"/>
      <c r="K50" s="27"/>
      <c r="L50" s="27"/>
      <c r="M50" s="27"/>
      <c r="BT50" s="11">
        <f>0.04/100</f>
        <v>4.0000000000000002E-4</v>
      </c>
      <c r="BU50" s="11">
        <f>0.05/100</f>
        <v>5.0000000000000001E-4</v>
      </c>
      <c r="BV50" s="11">
        <f>0.05/100</f>
        <v>5.0000000000000001E-4</v>
      </c>
      <c r="BW50" s="11">
        <f>0.05/100</f>
        <v>5.0000000000000001E-4</v>
      </c>
      <c r="BX50" s="11">
        <f>0.06/100</f>
        <v>5.9999999999999995E-4</v>
      </c>
      <c r="BY50" s="11">
        <f>0.06/100</f>
        <v>5.9999999999999995E-4</v>
      </c>
      <c r="BZ50" s="11">
        <f>0.07/100</f>
        <v>7.000000000000001E-4</v>
      </c>
      <c r="CA50" s="11">
        <f>0.07/100</f>
        <v>7.000000000000001E-4</v>
      </c>
      <c r="CB50" s="11">
        <f>0.08/100</f>
        <v>8.0000000000000004E-4</v>
      </c>
      <c r="CC50" s="11">
        <f>0.08/100</f>
        <v>8.0000000000000004E-4</v>
      </c>
      <c r="CD50" s="11">
        <f>0.08/100</f>
        <v>8.0000000000000004E-4</v>
      </c>
      <c r="CE50" s="11">
        <f>0.06/100</f>
        <v>5.9999999999999995E-4</v>
      </c>
      <c r="CH50" s="44"/>
    </row>
    <row r="51" spans="1:86" s="46" customFormat="1" x14ac:dyDescent="0.2">
      <c r="A51" s="38" t="s">
        <v>1</v>
      </c>
      <c r="B51" s="40">
        <v>466</v>
      </c>
      <c r="C51" s="83"/>
      <c r="D51" s="45"/>
      <c r="E51" s="45"/>
      <c r="F51" s="45"/>
      <c r="G51" s="45"/>
      <c r="H51" s="45"/>
      <c r="I51" s="45"/>
      <c r="J51" s="45"/>
      <c r="K51" s="45"/>
      <c r="L51" s="45"/>
      <c r="M51" s="45"/>
      <c r="BP51" s="50"/>
      <c r="BR51" s="50"/>
      <c r="BS51" s="50"/>
      <c r="BW51" s="52">
        <f>0.16/100</f>
        <v>1.6000000000000001E-3</v>
      </c>
      <c r="CB51" s="52">
        <f>0.25/100</f>
        <v>2.5000000000000001E-3</v>
      </c>
      <c r="CC51" s="52">
        <v>2.5999999999999999E-3</v>
      </c>
      <c r="CD51" s="52">
        <v>2.7000000000000001E-3</v>
      </c>
      <c r="CH51" s="51"/>
    </row>
    <row r="52" spans="1:86" x14ac:dyDescent="0.2">
      <c r="A52" s="3" t="s">
        <v>4</v>
      </c>
      <c r="B52" s="39">
        <v>467</v>
      </c>
      <c r="C52" s="82"/>
      <c r="D52" s="27"/>
      <c r="E52" s="27"/>
      <c r="F52" s="27"/>
      <c r="G52" s="27"/>
      <c r="H52" s="27"/>
      <c r="I52" s="27"/>
      <c r="J52" s="27"/>
      <c r="K52" s="27"/>
      <c r="L52" s="27"/>
      <c r="M52" s="27"/>
      <c r="BO52" s="5">
        <v>0.04</v>
      </c>
      <c r="BQ52" s="5">
        <v>4.4999999999999998E-2</v>
      </c>
      <c r="BS52" s="5">
        <v>5.8000000000000003E-2</v>
      </c>
      <c r="BT52" s="11"/>
      <c r="BU52" s="5">
        <v>6.3E-2</v>
      </c>
      <c r="BV52" s="11"/>
      <c r="BW52" s="5">
        <v>7.0999999999999994E-2</v>
      </c>
      <c r="CH52" s="44"/>
    </row>
    <row r="53" spans="1:86" x14ac:dyDescent="0.2">
      <c r="A53" s="3" t="s">
        <v>4</v>
      </c>
      <c r="B53" s="39">
        <v>467</v>
      </c>
      <c r="C53" s="82"/>
      <c r="D53" s="27"/>
      <c r="E53" s="27"/>
      <c r="F53" s="27"/>
      <c r="G53" s="27"/>
      <c r="H53" s="27"/>
      <c r="I53" s="27"/>
      <c r="J53" s="27"/>
      <c r="K53" s="27"/>
      <c r="L53" s="27"/>
      <c r="M53" s="27"/>
      <c r="BO53" s="5">
        <v>0.01</v>
      </c>
      <c r="BQ53" s="5">
        <v>1.0999999999999999E-2</v>
      </c>
      <c r="BS53" s="5">
        <v>1.7999999999999999E-2</v>
      </c>
      <c r="BU53" s="5">
        <v>1.7000000000000001E-2</v>
      </c>
      <c r="BW53" s="5">
        <v>1.9E-2</v>
      </c>
      <c r="CH53" s="44"/>
    </row>
    <row r="54" spans="1:86" x14ac:dyDescent="0.2">
      <c r="A54" s="3" t="s">
        <v>4</v>
      </c>
      <c r="B54" s="39">
        <v>468</v>
      </c>
      <c r="C54" s="82"/>
      <c r="D54" s="27"/>
      <c r="E54" s="27"/>
      <c r="F54" s="27"/>
      <c r="G54" s="27"/>
      <c r="H54" s="27"/>
      <c r="I54" s="27"/>
      <c r="J54" s="27"/>
      <c r="K54" s="27"/>
      <c r="L54" s="27"/>
      <c r="M54" s="27"/>
      <c r="BK54" s="5">
        <v>1.4E-2</v>
      </c>
      <c r="BM54" s="5">
        <v>1.9E-2</v>
      </c>
      <c r="BO54" s="5">
        <v>1.0999999999999999E-2</v>
      </c>
      <c r="BQ54" s="5">
        <v>0.01</v>
      </c>
      <c r="BS54" s="5">
        <v>3.2000000000000001E-2</v>
      </c>
      <c r="BU54" s="5">
        <v>2.5000000000000001E-2</v>
      </c>
      <c r="BW54" s="5">
        <v>2.8000000000000001E-2</v>
      </c>
      <c r="BY54" s="5">
        <v>2.8000000000000001E-2</v>
      </c>
      <c r="CA54" s="5">
        <v>2.3E-2</v>
      </c>
      <c r="CC54" s="5">
        <v>2.3E-2</v>
      </c>
      <c r="CH54" s="44"/>
    </row>
    <row r="55" spans="1:86" x14ac:dyDescent="0.2">
      <c r="A55" s="3" t="s">
        <v>4</v>
      </c>
      <c r="B55" s="39">
        <v>468</v>
      </c>
      <c r="C55" s="82"/>
      <c r="D55" s="27"/>
      <c r="E55" s="27"/>
      <c r="F55" s="27"/>
      <c r="G55" s="27"/>
      <c r="H55" s="27"/>
      <c r="I55" s="27"/>
      <c r="J55" s="27"/>
      <c r="K55" s="27"/>
      <c r="L55" s="27"/>
      <c r="M55" s="27"/>
      <c r="BK55" s="5">
        <v>2.5000000000000001E-2</v>
      </c>
      <c r="BM55" s="5">
        <v>2.5999999999999999E-2</v>
      </c>
      <c r="BO55" s="5">
        <v>2.1999999999999999E-2</v>
      </c>
      <c r="BQ55" s="5">
        <v>0.03</v>
      </c>
      <c r="BS55" s="5">
        <v>3.6999999999999998E-2</v>
      </c>
      <c r="BU55" s="5">
        <v>4.2000000000000003E-2</v>
      </c>
      <c r="BW55" s="5">
        <v>4.7E-2</v>
      </c>
      <c r="BY55" s="5">
        <v>4.7E-2</v>
      </c>
      <c r="CA55" s="5">
        <v>4.4999999999999998E-2</v>
      </c>
      <c r="CC55" s="5">
        <v>3.9E-2</v>
      </c>
      <c r="CH55" s="44"/>
    </row>
    <row r="56" spans="1:86" x14ac:dyDescent="0.2">
      <c r="A56" s="3" t="s">
        <v>4</v>
      </c>
      <c r="B56" s="39">
        <v>469</v>
      </c>
      <c r="C56" s="82"/>
      <c r="D56" s="27"/>
      <c r="E56" s="27"/>
      <c r="F56" s="27"/>
      <c r="G56" s="27"/>
      <c r="H56" s="27"/>
      <c r="I56" s="27"/>
      <c r="J56" s="27"/>
      <c r="K56" s="27"/>
      <c r="L56" s="27"/>
      <c r="M56" s="27"/>
      <c r="BQ56" s="5">
        <v>5.7099999999999998E-2</v>
      </c>
      <c r="BS56" s="5">
        <v>6.4299999999999996E-2</v>
      </c>
      <c r="BU56" s="5">
        <v>7.1499999999999994E-2</v>
      </c>
      <c r="BW56" s="5">
        <v>7.85E-2</v>
      </c>
      <c r="BY56" s="5">
        <v>7.6700000000000004E-2</v>
      </c>
      <c r="CA56" s="5">
        <v>7.6300000000000007E-2</v>
      </c>
      <c r="CC56" s="5">
        <v>6.8599999999999994E-2</v>
      </c>
      <c r="CH56" s="44"/>
    </row>
    <row r="57" spans="1:86" s="46" customFormat="1" x14ac:dyDescent="0.2">
      <c r="A57" s="38" t="s">
        <v>4</v>
      </c>
      <c r="B57" s="40">
        <v>470</v>
      </c>
      <c r="C57" s="83"/>
      <c r="D57" s="45"/>
      <c r="E57" s="45"/>
      <c r="F57" s="45"/>
      <c r="G57" s="45"/>
      <c r="H57" s="45"/>
      <c r="I57" s="45"/>
      <c r="J57" s="45"/>
      <c r="K57" s="45"/>
      <c r="L57" s="45"/>
      <c r="M57" s="45"/>
      <c r="BK57" s="48">
        <v>4.0300000000000002E-2</v>
      </c>
      <c r="BM57" s="48">
        <v>4.6600000000000003E-2</v>
      </c>
      <c r="BO57" s="48">
        <v>4.0500000000000001E-2</v>
      </c>
      <c r="BP57" s="50"/>
      <c r="BQ57" s="48">
        <v>4.5400000000000003E-2</v>
      </c>
      <c r="BR57" s="50"/>
      <c r="BS57" s="48">
        <v>5.8500000000000003E-2</v>
      </c>
      <c r="BU57" s="48">
        <v>6.3500000000000001E-2</v>
      </c>
      <c r="BW57" s="48">
        <v>6.9900000000000004E-2</v>
      </c>
      <c r="BY57" s="48">
        <v>6.7799999999999999E-2</v>
      </c>
      <c r="CA57" s="48">
        <v>6.6600000000000006E-2</v>
      </c>
      <c r="CE57" s="48">
        <v>6.4899999999999999E-2</v>
      </c>
      <c r="CH57" s="51"/>
    </row>
    <row r="58" spans="1:86" x14ac:dyDescent="0.2">
      <c r="A58" s="3" t="s">
        <v>5</v>
      </c>
      <c r="B58" s="39">
        <v>471</v>
      </c>
      <c r="C58" s="82"/>
      <c r="D58" s="27"/>
      <c r="E58" s="27"/>
      <c r="F58" s="27"/>
      <c r="G58" s="27"/>
      <c r="H58" s="27"/>
      <c r="I58" s="27"/>
      <c r="J58" s="27"/>
      <c r="K58" s="27"/>
      <c r="L58" s="27"/>
      <c r="M58" s="27"/>
      <c r="AR58" s="5">
        <v>8.6999999999999994E-2</v>
      </c>
      <c r="AS58" s="7"/>
      <c r="AT58" s="7"/>
      <c r="AU58" s="7"/>
      <c r="AV58" s="7"/>
      <c r="AW58" s="7"/>
      <c r="AX58" s="7"/>
      <c r="AY58" s="7"/>
      <c r="AZ58" s="7"/>
      <c r="BA58" s="5">
        <v>0.161</v>
      </c>
      <c r="BP58" s="5">
        <v>0.21</v>
      </c>
      <c r="CH58" s="44"/>
    </row>
    <row r="59" spans="1:86" x14ac:dyDescent="0.2">
      <c r="A59" s="3" t="s">
        <v>5</v>
      </c>
      <c r="B59" s="39">
        <v>471</v>
      </c>
      <c r="C59" s="82"/>
      <c r="D59" s="27"/>
      <c r="E59" s="27"/>
      <c r="F59" s="27"/>
      <c r="G59" s="27"/>
      <c r="H59" s="27"/>
      <c r="I59" s="27"/>
      <c r="J59" s="27"/>
      <c r="K59" s="27"/>
      <c r="L59" s="27"/>
      <c r="M59" s="27"/>
      <c r="AR59" s="5">
        <v>7.6999999999999999E-2</v>
      </c>
      <c r="AS59" s="7"/>
      <c r="AT59" s="7"/>
      <c r="AU59" s="7"/>
      <c r="AV59" s="7"/>
      <c r="AW59" s="7"/>
      <c r="AX59" s="7"/>
      <c r="AY59" s="7"/>
      <c r="AZ59" s="7"/>
      <c r="BA59" s="12"/>
      <c r="BP59" s="5">
        <v>0.121</v>
      </c>
      <c r="CH59" s="44"/>
    </row>
    <row r="60" spans="1:86" x14ac:dyDescent="0.2">
      <c r="A60" s="3" t="s">
        <v>5</v>
      </c>
      <c r="B60" s="39">
        <v>471</v>
      </c>
      <c r="C60" s="82"/>
      <c r="D60" s="27"/>
      <c r="E60" s="27"/>
      <c r="F60" s="27"/>
      <c r="G60" s="27"/>
      <c r="H60" s="27"/>
      <c r="I60" s="27"/>
      <c r="J60" s="27"/>
      <c r="K60" s="27"/>
      <c r="L60" s="27"/>
      <c r="M60" s="27"/>
      <c r="AR60" s="5">
        <v>0.10100000000000001</v>
      </c>
      <c r="AS60" s="7"/>
      <c r="AT60" s="7"/>
      <c r="AU60" s="7"/>
      <c r="AV60" s="7"/>
      <c r="AW60" s="7"/>
      <c r="AX60" s="7"/>
      <c r="AY60" s="7"/>
      <c r="AZ60" s="7"/>
      <c r="BA60" s="5">
        <v>0.14699999999999999</v>
      </c>
      <c r="BP60" s="5">
        <v>0.23</v>
      </c>
      <c r="CH60" s="44"/>
    </row>
    <row r="61" spans="1:86" x14ac:dyDescent="0.2">
      <c r="A61" s="3" t="s">
        <v>5</v>
      </c>
      <c r="B61" s="39">
        <v>471</v>
      </c>
      <c r="C61" s="82"/>
      <c r="D61" s="27"/>
      <c r="E61" s="27"/>
      <c r="F61" s="27"/>
      <c r="G61" s="27"/>
      <c r="H61" s="27"/>
      <c r="I61" s="27"/>
      <c r="J61" s="27"/>
      <c r="K61" s="27"/>
      <c r="L61" s="27"/>
      <c r="M61" s="27"/>
      <c r="AR61" s="5">
        <v>6.8000000000000005E-2</v>
      </c>
      <c r="AS61" s="7"/>
      <c r="AT61" s="7"/>
      <c r="AU61" s="7"/>
      <c r="AV61" s="7"/>
      <c r="AW61" s="7"/>
      <c r="AX61" s="7"/>
      <c r="AY61" s="7"/>
      <c r="AZ61" s="7"/>
      <c r="BA61" s="12"/>
      <c r="BP61" s="5">
        <v>0.17299999999999999</v>
      </c>
      <c r="CH61" s="44"/>
    </row>
    <row r="62" spans="1:86" x14ac:dyDescent="0.2">
      <c r="A62" s="3" t="s">
        <v>5</v>
      </c>
      <c r="B62" s="39">
        <v>472</v>
      </c>
      <c r="C62" s="82"/>
      <c r="D62" s="27"/>
      <c r="E62" s="27"/>
      <c r="F62" s="27"/>
      <c r="G62" s="27"/>
      <c r="H62" s="27"/>
      <c r="I62" s="27"/>
      <c r="J62" s="27"/>
      <c r="K62" s="27"/>
      <c r="L62" s="27"/>
      <c r="M62" s="27"/>
      <c r="BH62" s="5">
        <v>7.4999999999999997E-2</v>
      </c>
      <c r="BI62" s="13"/>
      <c r="BJ62" s="13"/>
      <c r="BK62" s="13"/>
      <c r="BL62" s="13"/>
      <c r="BM62" s="13"/>
      <c r="BN62" s="13"/>
      <c r="BO62" s="13"/>
      <c r="BP62" s="13"/>
      <c r="BQ62" s="13"/>
      <c r="BR62" s="14"/>
      <c r="BS62" s="5">
        <v>0.111</v>
      </c>
      <c r="CH62" s="44"/>
    </row>
    <row r="63" spans="1:86" x14ac:dyDescent="0.2">
      <c r="A63" s="3" t="s">
        <v>5</v>
      </c>
      <c r="B63" s="39">
        <v>472</v>
      </c>
      <c r="C63" s="82"/>
      <c r="D63" s="27"/>
      <c r="E63" s="27"/>
      <c r="F63" s="27"/>
      <c r="G63" s="27"/>
      <c r="H63" s="27"/>
      <c r="I63" s="27"/>
      <c r="J63" s="27"/>
      <c r="K63" s="27"/>
      <c r="L63" s="27"/>
      <c r="M63" s="27"/>
      <c r="BH63" s="5">
        <v>9.4E-2</v>
      </c>
      <c r="BI63" s="13"/>
      <c r="BJ63" s="13"/>
      <c r="BK63" s="13"/>
      <c r="BL63" s="13"/>
      <c r="BM63" s="13"/>
      <c r="BN63" s="13"/>
      <c r="BO63" s="13"/>
      <c r="BP63" s="13"/>
      <c r="BQ63" s="13"/>
      <c r="BR63" s="14"/>
      <c r="BS63" s="5">
        <v>0.109</v>
      </c>
      <c r="CH63" s="44"/>
    </row>
    <row r="64" spans="1:86" x14ac:dyDescent="0.2">
      <c r="A64" s="3" t="s">
        <v>5</v>
      </c>
      <c r="B64" s="39">
        <v>472</v>
      </c>
      <c r="C64" s="82"/>
      <c r="D64" s="27"/>
      <c r="E64" s="27"/>
      <c r="F64" s="27"/>
      <c r="G64" s="27"/>
      <c r="H64" s="27"/>
      <c r="I64" s="27"/>
      <c r="J64" s="27"/>
      <c r="K64" s="27"/>
      <c r="L64" s="27"/>
      <c r="M64" s="27"/>
      <c r="BH64" s="5">
        <v>5.8000000000000003E-2</v>
      </c>
      <c r="BI64" s="13"/>
      <c r="BJ64" s="13"/>
      <c r="BK64" s="13"/>
      <c r="BL64" s="13"/>
      <c r="BM64" s="13"/>
      <c r="BN64" s="13"/>
      <c r="BO64" s="13"/>
      <c r="BP64" s="13"/>
      <c r="BQ64" s="13"/>
      <c r="BR64" s="14"/>
      <c r="BS64" s="5">
        <v>0.112</v>
      </c>
      <c r="CH64" s="44"/>
    </row>
    <row r="65" spans="1:86" x14ac:dyDescent="0.2">
      <c r="A65" s="3" t="s">
        <v>5</v>
      </c>
      <c r="B65" s="39">
        <v>473</v>
      </c>
      <c r="C65" s="82"/>
      <c r="D65" s="27"/>
      <c r="E65" s="27"/>
      <c r="F65" s="27"/>
      <c r="G65" s="27"/>
      <c r="H65" s="27"/>
      <c r="I65" s="27"/>
      <c r="J65" s="27"/>
      <c r="K65" s="27"/>
      <c r="L65" s="27"/>
      <c r="M65" s="27"/>
      <c r="BG65" s="5">
        <v>9.4E-2</v>
      </c>
      <c r="BH65" s="13"/>
      <c r="BI65" s="13"/>
      <c r="BJ65" s="13"/>
      <c r="BK65" s="13"/>
      <c r="BL65" s="13"/>
      <c r="BM65" s="13"/>
      <c r="BN65" s="13"/>
      <c r="BO65" s="13"/>
      <c r="BP65" s="13"/>
      <c r="BQ65" s="5">
        <v>0.124</v>
      </c>
      <c r="BR65" s="14"/>
      <c r="BS65" s="1"/>
      <c r="BT65" s="13"/>
      <c r="BU65" s="13"/>
      <c r="BV65" s="13"/>
      <c r="BW65" s="13"/>
      <c r="BX65" s="13"/>
      <c r="BY65" s="13"/>
      <c r="BZ65" s="13"/>
      <c r="CA65" s="5">
        <v>0.14399999999999999</v>
      </c>
      <c r="CH65" s="44"/>
    </row>
    <row r="66" spans="1:86" x14ac:dyDescent="0.2">
      <c r="A66" s="3" t="s">
        <v>5</v>
      </c>
      <c r="B66" s="39">
        <v>473</v>
      </c>
      <c r="C66" s="82"/>
      <c r="D66" s="27"/>
      <c r="E66" s="27"/>
      <c r="F66" s="27"/>
      <c r="G66" s="27"/>
      <c r="H66" s="27"/>
      <c r="I66" s="27"/>
      <c r="J66" s="27"/>
      <c r="K66" s="27"/>
      <c r="L66" s="27"/>
      <c r="M66" s="27"/>
      <c r="BG66" s="5">
        <v>9.2999999999999999E-2</v>
      </c>
      <c r="BH66" s="13"/>
      <c r="BI66" s="13"/>
      <c r="BJ66" s="13"/>
      <c r="BK66" s="13"/>
      <c r="BL66" s="13"/>
      <c r="BM66" s="13"/>
      <c r="BN66" s="13"/>
      <c r="BO66" s="13"/>
      <c r="BP66" s="13"/>
      <c r="BQ66" s="5">
        <v>0.105</v>
      </c>
      <c r="BR66" s="14"/>
      <c r="BS66" s="1"/>
      <c r="BT66" s="13"/>
      <c r="BU66" s="13"/>
      <c r="BV66" s="13"/>
      <c r="BW66" s="13"/>
      <c r="BX66" s="13"/>
      <c r="BY66" s="13"/>
      <c r="BZ66" s="13"/>
      <c r="CA66" s="5">
        <v>0.115</v>
      </c>
      <c r="CH66" s="44"/>
    </row>
    <row r="67" spans="1:86" x14ac:dyDescent="0.2">
      <c r="A67" s="3" t="s">
        <v>5</v>
      </c>
      <c r="B67" s="39">
        <v>473</v>
      </c>
      <c r="C67" s="82"/>
      <c r="D67" s="27"/>
      <c r="E67" s="27"/>
      <c r="F67" s="27"/>
      <c r="G67" s="27"/>
      <c r="H67" s="27"/>
      <c r="I67" s="27"/>
      <c r="J67" s="27"/>
      <c r="K67" s="27"/>
      <c r="L67" s="27"/>
      <c r="M67" s="27"/>
      <c r="BG67" s="5">
        <v>0.24299999999999999</v>
      </c>
      <c r="BH67" s="13"/>
      <c r="BI67" s="13"/>
      <c r="BJ67" s="13"/>
      <c r="BK67" s="13"/>
      <c r="BL67" s="13"/>
      <c r="BM67" s="13"/>
      <c r="BN67" s="13"/>
      <c r="BO67" s="13"/>
      <c r="BP67" s="13"/>
      <c r="BQ67" s="5">
        <v>0.26600000000000001</v>
      </c>
      <c r="BR67" s="14"/>
      <c r="BS67" s="1"/>
      <c r="BT67" s="13"/>
      <c r="BU67" s="13"/>
      <c r="BV67" s="13"/>
      <c r="BW67" s="13"/>
      <c r="BX67" s="13"/>
      <c r="BY67" s="13"/>
      <c r="BZ67" s="13"/>
      <c r="CA67" s="5">
        <v>0.27800000000000002</v>
      </c>
      <c r="CH67" s="44"/>
    </row>
    <row r="68" spans="1:86" x14ac:dyDescent="0.2">
      <c r="A68" s="3" t="s">
        <v>5</v>
      </c>
      <c r="B68" s="39">
        <v>473</v>
      </c>
      <c r="C68" s="82"/>
      <c r="D68" s="27"/>
      <c r="E68" s="27"/>
      <c r="F68" s="27"/>
      <c r="G68" s="27"/>
      <c r="H68" s="27"/>
      <c r="I68" s="27"/>
      <c r="J68" s="27"/>
      <c r="K68" s="27"/>
      <c r="L68" s="27"/>
      <c r="M68" s="27"/>
      <c r="BG68" s="5">
        <v>0.218</v>
      </c>
      <c r="BH68" s="13"/>
      <c r="BI68" s="13"/>
      <c r="BJ68" s="13"/>
      <c r="BK68" s="13"/>
      <c r="BL68" s="13"/>
      <c r="BM68" s="13"/>
      <c r="BN68" s="13"/>
      <c r="BO68" s="13"/>
      <c r="BP68" s="13"/>
      <c r="BQ68" s="5">
        <v>0.23</v>
      </c>
      <c r="BR68" s="14"/>
      <c r="BS68" s="1"/>
      <c r="BT68" s="13"/>
      <c r="BU68" s="13"/>
      <c r="BV68" s="13"/>
      <c r="BW68" s="13"/>
      <c r="BX68" s="13"/>
      <c r="BY68" s="13"/>
      <c r="BZ68" s="13"/>
      <c r="CA68" s="5">
        <v>0.27800000000000002</v>
      </c>
      <c r="CH68" s="44"/>
    </row>
    <row r="69" spans="1:86" x14ac:dyDescent="0.2">
      <c r="A69" s="3" t="s">
        <v>5</v>
      </c>
      <c r="B69" s="39">
        <v>474</v>
      </c>
      <c r="C69" s="82"/>
      <c r="D69" s="27"/>
      <c r="E69" s="27"/>
      <c r="F69" s="27"/>
      <c r="G69" s="27"/>
      <c r="H69" s="27"/>
      <c r="I69" s="27"/>
      <c r="J69" s="27"/>
      <c r="K69" s="27"/>
      <c r="L69" s="27"/>
      <c r="M69" s="27"/>
      <c r="BG69" s="5">
        <v>6.6000000000000003E-2</v>
      </c>
      <c r="BH69" s="13"/>
      <c r="BI69" s="13"/>
      <c r="BJ69" s="13"/>
      <c r="BK69" s="13"/>
      <c r="BL69" s="13"/>
      <c r="BM69" s="13"/>
      <c r="BN69" s="13"/>
      <c r="BO69" s="13"/>
      <c r="BP69" s="13"/>
      <c r="BQ69" s="5">
        <v>0.1</v>
      </c>
      <c r="BR69" s="14"/>
      <c r="BS69" s="1"/>
      <c r="BT69" s="13"/>
      <c r="BU69" s="13"/>
      <c r="BV69" s="13"/>
      <c r="BW69" s="13"/>
      <c r="BX69" s="13"/>
      <c r="BY69" s="13"/>
      <c r="BZ69" s="13"/>
      <c r="CA69" s="5">
        <v>0.109</v>
      </c>
      <c r="CH69" s="44"/>
    </row>
    <row r="70" spans="1:86" x14ac:dyDescent="0.2">
      <c r="A70" s="3" t="s">
        <v>5</v>
      </c>
      <c r="B70" s="39">
        <v>475</v>
      </c>
      <c r="C70" s="82"/>
      <c r="D70" s="27"/>
      <c r="E70" s="27"/>
      <c r="F70" s="27"/>
      <c r="G70" s="27"/>
      <c r="H70" s="27"/>
      <c r="I70" s="27"/>
      <c r="J70" s="27"/>
      <c r="K70" s="27"/>
      <c r="L70" s="27"/>
      <c r="M70" s="27"/>
      <c r="BP70"/>
      <c r="BS70" s="5">
        <v>0.11799999999999999</v>
      </c>
      <c r="BT70" s="13"/>
      <c r="BU70" s="13"/>
      <c r="BV70" s="13"/>
      <c r="BW70" s="13"/>
      <c r="BX70" s="13"/>
      <c r="BY70" s="13"/>
      <c r="BZ70" s="13"/>
      <c r="CA70" s="5">
        <v>0.14000000000000001</v>
      </c>
      <c r="CH70" s="44"/>
    </row>
    <row r="71" spans="1:86" x14ac:dyDescent="0.2">
      <c r="A71" s="3" t="s">
        <v>5</v>
      </c>
      <c r="B71" s="39">
        <v>475</v>
      </c>
      <c r="C71" s="82"/>
      <c r="D71" s="27"/>
      <c r="E71" s="27"/>
      <c r="F71" s="27"/>
      <c r="G71" s="27"/>
      <c r="H71" s="27"/>
      <c r="I71" s="27"/>
      <c r="J71" s="27"/>
      <c r="K71" s="27"/>
      <c r="L71" s="27"/>
      <c r="M71" s="27"/>
      <c r="AJ71" s="1"/>
      <c r="AK71" s="1"/>
      <c r="AL71" s="1"/>
      <c r="AM71" s="1"/>
      <c r="BL71" s="1"/>
      <c r="BM71" s="1"/>
      <c r="BP71"/>
      <c r="BS71" s="5">
        <v>6.6000000000000003E-2</v>
      </c>
      <c r="BT71" s="13"/>
      <c r="BU71" s="13"/>
      <c r="BV71" s="13"/>
      <c r="BW71" s="13"/>
      <c r="BX71" s="13"/>
      <c r="BY71" s="13"/>
      <c r="BZ71" s="13"/>
      <c r="CA71" s="5">
        <v>9.7000000000000003E-2</v>
      </c>
      <c r="CH71" s="44"/>
    </row>
    <row r="72" spans="1:86" x14ac:dyDescent="0.2">
      <c r="A72" s="3" t="s">
        <v>5</v>
      </c>
      <c r="B72" s="39">
        <v>476</v>
      </c>
      <c r="C72" s="82"/>
      <c r="D72" s="27"/>
      <c r="E72" s="27"/>
      <c r="F72" s="27"/>
      <c r="G72" s="27"/>
      <c r="H72" s="27"/>
      <c r="I72" s="27"/>
      <c r="J72" s="27"/>
      <c r="K72" s="27"/>
      <c r="L72" s="27"/>
      <c r="M72" s="27"/>
      <c r="AJ72" s="1"/>
      <c r="BP72" s="5">
        <f>1275.559/100000</f>
        <v>1.2755589999999999E-2</v>
      </c>
      <c r="BQ72" s="13"/>
      <c r="BR72" s="14"/>
      <c r="BS72" s="14"/>
      <c r="BT72" s="13"/>
      <c r="BU72" s="13"/>
      <c r="BV72" s="5">
        <f>1776.096/100000</f>
        <v>1.7760959999999999E-2</v>
      </c>
      <c r="BW72" s="13"/>
      <c r="BX72" s="13"/>
      <c r="BY72" s="13"/>
      <c r="BZ72" s="13"/>
      <c r="CA72" s="13"/>
      <c r="CB72" s="5">
        <f>1419.96/100000</f>
        <v>1.41996E-2</v>
      </c>
      <c r="CH72" s="44"/>
    </row>
    <row r="73" spans="1:86" x14ac:dyDescent="0.2">
      <c r="A73" s="3" t="s">
        <v>5</v>
      </c>
      <c r="B73" s="39">
        <v>454</v>
      </c>
      <c r="C73" s="82"/>
      <c r="D73" s="27"/>
      <c r="E73" s="27"/>
      <c r="F73" s="27"/>
      <c r="G73" s="27"/>
      <c r="H73" s="27"/>
      <c r="I73" s="27"/>
      <c r="J73" s="27"/>
      <c r="K73" s="27"/>
      <c r="L73" s="27"/>
      <c r="M73" s="27"/>
      <c r="BD73" s="5">
        <v>4.1000000000000002E-2</v>
      </c>
      <c r="BK73" s="5">
        <v>4.5999999999999999E-2</v>
      </c>
      <c r="BL73" s="1"/>
      <c r="BM73" s="1"/>
      <c r="BP73"/>
      <c r="BU73" s="5">
        <v>6.6000000000000003E-2</v>
      </c>
      <c r="CH73" s="44"/>
    </row>
    <row r="74" spans="1:86" x14ac:dyDescent="0.2">
      <c r="A74" s="3" t="s">
        <v>5</v>
      </c>
      <c r="B74" s="39">
        <v>456</v>
      </c>
      <c r="C74" s="82"/>
      <c r="D74" s="27"/>
      <c r="E74" s="27"/>
      <c r="F74" s="27"/>
      <c r="G74" s="27"/>
      <c r="H74" s="27"/>
      <c r="I74" s="27"/>
      <c r="J74" s="27"/>
      <c r="K74" s="27"/>
      <c r="L74" s="27"/>
      <c r="M74" s="27"/>
      <c r="BD74" s="5"/>
      <c r="BE74" s="5">
        <v>4.4999999999999998E-2</v>
      </c>
      <c r="BK74" s="5"/>
      <c r="BL74" s="5">
        <v>6.4000000000000001E-2</v>
      </c>
      <c r="BM74" s="1"/>
      <c r="BP74"/>
      <c r="BU74" s="5"/>
      <c r="BW74" s="5">
        <v>8.3000000000000004E-2</v>
      </c>
      <c r="CH74" s="44"/>
    </row>
    <row r="75" spans="1:86" x14ac:dyDescent="0.2">
      <c r="A75" s="3" t="s">
        <v>5</v>
      </c>
      <c r="B75" s="39">
        <v>457</v>
      </c>
      <c r="C75" s="82"/>
      <c r="D75" s="27"/>
      <c r="E75" s="27"/>
      <c r="F75" s="27"/>
      <c r="G75" s="27"/>
      <c r="H75" s="27"/>
      <c r="I75" s="27"/>
      <c r="J75" s="27"/>
      <c r="K75" s="27"/>
      <c r="L75" s="27"/>
      <c r="M75" s="27"/>
      <c r="BD75" s="5"/>
      <c r="BK75" s="5"/>
      <c r="BL75" s="1"/>
      <c r="BM75" s="1"/>
      <c r="BP75"/>
      <c r="BU75" s="5"/>
      <c r="BV75" s="5">
        <v>0.151</v>
      </c>
      <c r="CC75" s="5">
        <v>0.13800000000000001</v>
      </c>
      <c r="CH75" s="44"/>
    </row>
    <row r="76" spans="1:86" x14ac:dyDescent="0.2">
      <c r="A76" s="3" t="s">
        <v>5</v>
      </c>
      <c r="B76" s="39">
        <v>458</v>
      </c>
      <c r="C76" s="82"/>
      <c r="D76" s="27"/>
      <c r="E76" s="27"/>
      <c r="F76" s="27"/>
      <c r="G76" s="27"/>
      <c r="H76" s="27"/>
      <c r="I76" s="27"/>
      <c r="J76" s="27"/>
      <c r="K76" s="27"/>
      <c r="L76" s="27"/>
      <c r="M76" s="27"/>
      <c r="BD76" s="5"/>
      <c r="BF76" s="5">
        <v>7.8E-2</v>
      </c>
      <c r="BK76" s="5"/>
      <c r="BL76" s="5">
        <v>7.9000000000000001E-2</v>
      </c>
      <c r="BM76" s="1"/>
      <c r="BP76"/>
      <c r="BU76" s="5"/>
      <c r="CA76" s="5">
        <v>6.6000000000000003E-2</v>
      </c>
      <c r="CH76" s="44"/>
    </row>
    <row r="77" spans="1:86" x14ac:dyDescent="0.2">
      <c r="A77" s="3" t="s">
        <v>5</v>
      </c>
      <c r="B77" s="39">
        <v>461</v>
      </c>
      <c r="C77" s="82"/>
      <c r="D77" s="27"/>
      <c r="E77" s="27"/>
      <c r="F77" s="27"/>
      <c r="G77" s="27"/>
      <c r="H77" s="27"/>
      <c r="I77" s="27"/>
      <c r="J77" s="27"/>
      <c r="K77" s="27"/>
      <c r="L77" s="27"/>
      <c r="M77" s="27"/>
      <c r="BD77" s="5"/>
      <c r="BK77" s="5"/>
      <c r="BL77" s="1"/>
      <c r="BM77" s="1"/>
      <c r="BO77" s="5">
        <v>4.19E-2</v>
      </c>
      <c r="BP77" s="5">
        <v>4.6100000000000002E-2</v>
      </c>
      <c r="BR77"/>
      <c r="BS77" s="5">
        <v>4.5699999999999998E-2</v>
      </c>
      <c r="BU77" s="5"/>
      <c r="CH77" s="44"/>
    </row>
    <row r="78" spans="1:86" x14ac:dyDescent="0.2">
      <c r="A78" s="3" t="s">
        <v>5</v>
      </c>
      <c r="B78" s="39">
        <v>461</v>
      </c>
      <c r="C78" s="82"/>
      <c r="D78" s="27"/>
      <c r="E78" s="27"/>
      <c r="F78" s="27"/>
      <c r="G78" s="27"/>
      <c r="H78" s="27"/>
      <c r="I78" s="27"/>
      <c r="J78" s="27"/>
      <c r="K78" s="27"/>
      <c r="L78" s="27"/>
      <c r="M78" s="27"/>
      <c r="BD78" s="5"/>
      <c r="BK78" s="5"/>
      <c r="BL78" s="1"/>
      <c r="BM78" s="1"/>
      <c r="BP78"/>
      <c r="BQ78" s="5">
        <v>4.9399999999999999E-2</v>
      </c>
      <c r="BR78" s="5">
        <v>5.0299999999999997E-2</v>
      </c>
      <c r="BS78" s="5">
        <v>5.1700000000000003E-2</v>
      </c>
      <c r="BT78" s="5">
        <v>5.4100000000000002E-2</v>
      </c>
      <c r="BU78" s="5">
        <v>5.7000000000000002E-2</v>
      </c>
      <c r="CH78" s="44"/>
    </row>
    <row r="79" spans="1:86" x14ac:dyDescent="0.2">
      <c r="A79" s="3" t="s">
        <v>5</v>
      </c>
      <c r="B79" s="39">
        <v>461</v>
      </c>
      <c r="C79" s="82"/>
      <c r="D79" s="27"/>
      <c r="E79" s="27"/>
      <c r="F79" s="27"/>
      <c r="G79" s="27"/>
      <c r="H79" s="27"/>
      <c r="I79" s="27"/>
      <c r="J79" s="27"/>
      <c r="K79" s="27"/>
      <c r="L79" s="27"/>
      <c r="M79" s="27"/>
      <c r="BD79" s="5"/>
      <c r="BK79" s="5"/>
      <c r="BL79" s="1"/>
      <c r="BM79" s="1"/>
      <c r="BN79" s="5">
        <v>6.3E-2</v>
      </c>
      <c r="BO79" s="5">
        <v>6.6000000000000003E-2</v>
      </c>
      <c r="BP79" s="5">
        <v>7.1999999999999995E-2</v>
      </c>
      <c r="BQ79" s="5">
        <v>7.2999999999999995E-2</v>
      </c>
      <c r="BR79" s="5">
        <v>7.2999999999999995E-2</v>
      </c>
      <c r="BS79" s="5">
        <v>7.3999999999999996E-2</v>
      </c>
      <c r="BT79" s="5">
        <v>7.5999999999999998E-2</v>
      </c>
      <c r="BU79" s="5">
        <v>7.5999999999999998E-2</v>
      </c>
      <c r="BV79" s="5">
        <v>7.5999999999999998E-2</v>
      </c>
      <c r="CH79" s="44"/>
    </row>
    <row r="80" spans="1:86" s="46" customFormat="1" x14ac:dyDescent="0.2">
      <c r="A80" s="38" t="s">
        <v>5</v>
      </c>
      <c r="B80" s="40">
        <v>461</v>
      </c>
      <c r="C80" s="83"/>
      <c r="D80" s="45"/>
      <c r="E80" s="45"/>
      <c r="F80" s="45"/>
      <c r="G80" s="45"/>
      <c r="H80" s="45"/>
      <c r="I80" s="45"/>
      <c r="J80" s="45"/>
      <c r="K80" s="45"/>
      <c r="L80" s="45"/>
      <c r="M80" s="45"/>
      <c r="BD80" s="48"/>
      <c r="BK80" s="48"/>
      <c r="BL80" s="53"/>
      <c r="BM80" s="53"/>
      <c r="BT80" s="48">
        <v>4.9000000000000002E-2</v>
      </c>
      <c r="BU80" s="48">
        <v>4.5999999999999999E-2</v>
      </c>
      <c r="BV80" s="48">
        <v>4.5999999999999999E-2</v>
      </c>
      <c r="BW80" s="48">
        <v>4.3999999999999997E-2</v>
      </c>
      <c r="BX80" s="48">
        <v>3.9E-2</v>
      </c>
      <c r="BY80" s="48">
        <v>3.5999999999999997E-2</v>
      </c>
      <c r="CH80" s="51"/>
    </row>
    <row r="81" spans="1:86" x14ac:dyDescent="0.2">
      <c r="A81" s="3" t="s">
        <v>6</v>
      </c>
      <c r="B81" s="39">
        <v>461</v>
      </c>
      <c r="C81" s="82"/>
      <c r="D81" s="27"/>
      <c r="E81" s="27"/>
      <c r="F81" s="27"/>
      <c r="G81" s="27"/>
      <c r="H81" s="27"/>
      <c r="I81" s="27"/>
      <c r="J81" s="27"/>
      <c r="K81" s="27"/>
      <c r="L81" s="27"/>
      <c r="M81" s="27"/>
      <c r="BN81" s="5">
        <v>0.19800000000000001</v>
      </c>
      <c r="BO81" s="5">
        <v>0.21199999999999999</v>
      </c>
      <c r="BP81" s="5">
        <v>0.21199999999999999</v>
      </c>
      <c r="BQ81" s="5">
        <v>0.20799999999999999</v>
      </c>
      <c r="BR81" s="5">
        <v>0.23</v>
      </c>
      <c r="BS81" s="5">
        <v>0.23799999999999999</v>
      </c>
      <c r="CH81" s="44"/>
    </row>
    <row r="82" spans="1:86" x14ac:dyDescent="0.2">
      <c r="A82" s="3" t="s">
        <v>6</v>
      </c>
      <c r="B82" s="39">
        <v>461</v>
      </c>
      <c r="C82" s="82"/>
      <c r="D82" s="27"/>
      <c r="E82" s="27"/>
      <c r="F82" s="27"/>
      <c r="G82" s="27"/>
      <c r="H82" s="27"/>
      <c r="I82" s="27"/>
      <c r="J82" s="27"/>
      <c r="K82" s="27"/>
      <c r="L82" s="27"/>
      <c r="M82" s="27"/>
      <c r="BP82" s="5">
        <v>2.3300000000000001E-2</v>
      </c>
      <c r="BR82"/>
      <c r="BS82" s="5">
        <v>2.18E-2</v>
      </c>
      <c r="CH82" s="44"/>
    </row>
    <row r="83" spans="1:86" x14ac:dyDescent="0.2">
      <c r="A83" s="3" t="s">
        <v>6</v>
      </c>
      <c r="B83" s="39">
        <v>461</v>
      </c>
      <c r="C83" s="82"/>
      <c r="D83" s="27"/>
      <c r="E83" s="27"/>
      <c r="F83" s="27"/>
      <c r="G83" s="27"/>
      <c r="H83" s="27"/>
      <c r="I83" s="27"/>
      <c r="J83" s="27"/>
      <c r="K83" s="27"/>
      <c r="L83" s="27"/>
      <c r="M83" s="27"/>
      <c r="BN83" s="5">
        <v>3.4000000000000002E-2</v>
      </c>
      <c r="BO83" s="5">
        <v>3.5000000000000003E-2</v>
      </c>
      <c r="BP83" s="5">
        <v>3.4000000000000002E-2</v>
      </c>
      <c r="BQ83" s="5">
        <v>3.2000000000000001E-2</v>
      </c>
      <c r="BR83" s="5">
        <v>3.2000000000000001E-2</v>
      </c>
      <c r="BS83" s="5">
        <v>3.2000000000000001E-2</v>
      </c>
      <c r="BT83" s="5">
        <v>3.1E-2</v>
      </c>
      <c r="BU83" s="5">
        <v>3.1E-2</v>
      </c>
      <c r="BV83" s="5">
        <v>0.03</v>
      </c>
      <c r="CH83" s="44"/>
    </row>
    <row r="84" spans="1:86" x14ac:dyDescent="0.2">
      <c r="A84" s="3" t="s">
        <v>6</v>
      </c>
      <c r="B84" s="39">
        <v>461</v>
      </c>
      <c r="C84" s="82"/>
      <c r="D84" s="27"/>
      <c r="E84" s="27"/>
      <c r="F84" s="27"/>
      <c r="G84" s="27"/>
      <c r="H84" s="27"/>
      <c r="I84" s="27"/>
      <c r="J84" s="27"/>
      <c r="K84" s="27"/>
      <c r="L84" s="27"/>
      <c r="M84" s="27"/>
      <c r="BP84"/>
      <c r="BR84"/>
      <c r="BS84"/>
      <c r="BT84" s="5">
        <v>2.1999999999999999E-2</v>
      </c>
      <c r="BU84" s="5">
        <v>2.1000000000000001E-2</v>
      </c>
      <c r="BV84" s="5">
        <v>0.02</v>
      </c>
      <c r="BW84" s="5">
        <v>0.02</v>
      </c>
      <c r="BX84" s="5">
        <v>0.02</v>
      </c>
      <c r="BY84" s="5">
        <v>1.9E-2</v>
      </c>
      <c r="CH84" s="44"/>
    </row>
    <row r="85" spans="1:86" x14ac:dyDescent="0.2">
      <c r="A85" s="3" t="s">
        <v>6</v>
      </c>
      <c r="B85" s="39">
        <v>477</v>
      </c>
      <c r="C85" s="82"/>
      <c r="D85" s="27"/>
      <c r="E85" s="27"/>
      <c r="F85" s="27"/>
      <c r="G85" s="27"/>
      <c r="H85" s="27"/>
      <c r="I85" s="27"/>
      <c r="J85" s="27"/>
      <c r="K85" s="27"/>
      <c r="L85" s="27"/>
      <c r="M85" s="27"/>
      <c r="BF85" s="5">
        <v>0.153</v>
      </c>
      <c r="BK85" s="5">
        <v>0.17</v>
      </c>
      <c r="BP85"/>
      <c r="BR85"/>
      <c r="BS85"/>
      <c r="CH85" s="44"/>
    </row>
    <row r="86" spans="1:86" x14ac:dyDescent="0.2">
      <c r="A86" s="3" t="s">
        <v>6</v>
      </c>
      <c r="B86" s="39">
        <v>477</v>
      </c>
      <c r="C86" s="82"/>
      <c r="D86" s="27"/>
      <c r="E86" s="27"/>
      <c r="F86" s="27"/>
      <c r="G86" s="27"/>
      <c r="H86" s="27"/>
      <c r="I86" s="27"/>
      <c r="J86" s="27"/>
      <c r="K86" s="27"/>
      <c r="L86" s="27"/>
      <c r="M86" s="27"/>
      <c r="BF86" s="5">
        <v>7.1999999999999995E-2</v>
      </c>
      <c r="BK86" s="5">
        <v>9.2999999999999999E-2</v>
      </c>
      <c r="BP86"/>
      <c r="BR86"/>
      <c r="BS86"/>
      <c r="CH86" s="44"/>
    </row>
    <row r="87" spans="1:86" x14ac:dyDescent="0.2">
      <c r="A87" s="3" t="s">
        <v>6</v>
      </c>
      <c r="B87" s="39">
        <v>79</v>
      </c>
      <c r="C87" s="82"/>
      <c r="D87" s="27"/>
      <c r="E87" s="27"/>
      <c r="F87" s="27"/>
      <c r="G87" s="27"/>
      <c r="H87" s="27"/>
      <c r="I87" s="27"/>
      <c r="J87" s="27"/>
      <c r="K87" s="27"/>
      <c r="L87" s="27"/>
      <c r="M87" s="27"/>
      <c r="BH87" s="5">
        <v>7.9000000000000001E-2</v>
      </c>
      <c r="BJ87" s="5">
        <v>7.0000000000000007E-2</v>
      </c>
      <c r="BL87" s="5">
        <v>8.4000000000000005E-2</v>
      </c>
      <c r="BN87" s="5">
        <v>9.0999999999999998E-2</v>
      </c>
      <c r="BP87" s="5">
        <v>9.9000000000000005E-2</v>
      </c>
      <c r="BR87" s="5">
        <v>8.8999999999999996E-2</v>
      </c>
      <c r="BS87"/>
      <c r="CH87" s="44"/>
    </row>
    <row r="88" spans="1:86" x14ac:dyDescent="0.2">
      <c r="A88" s="3" t="s">
        <v>6</v>
      </c>
      <c r="B88" s="39">
        <v>478</v>
      </c>
      <c r="C88" s="82"/>
      <c r="D88" s="27"/>
      <c r="E88" s="27"/>
      <c r="F88" s="27"/>
      <c r="G88" s="27"/>
      <c r="H88" s="27"/>
      <c r="I88" s="27"/>
      <c r="J88" s="27"/>
      <c r="K88" s="27"/>
      <c r="L88" s="27"/>
      <c r="M88" s="27"/>
      <c r="BF88" s="5">
        <v>7.6999999999999999E-2</v>
      </c>
      <c r="BM88" s="5">
        <v>0.10199999999999999</v>
      </c>
      <c r="BP88"/>
      <c r="BR88"/>
      <c r="BS88"/>
      <c r="CH88" s="44"/>
    </row>
    <row r="89" spans="1:86" x14ac:dyDescent="0.2">
      <c r="A89" s="3" t="s">
        <v>6</v>
      </c>
      <c r="B89" s="39">
        <v>478</v>
      </c>
      <c r="C89" s="82"/>
      <c r="D89" s="27"/>
      <c r="E89" s="27"/>
      <c r="F89" s="27"/>
      <c r="G89" s="27"/>
      <c r="H89" s="27"/>
      <c r="I89" s="27"/>
      <c r="J89" s="27"/>
      <c r="K89" s="27"/>
      <c r="L89" s="27"/>
      <c r="M89" s="27"/>
      <c r="BF89" s="5">
        <v>0.26100000000000001</v>
      </c>
      <c r="BM89" s="5">
        <v>0.18</v>
      </c>
      <c r="BP89"/>
      <c r="BR89"/>
      <c r="BS89"/>
      <c r="CH89" s="44"/>
    </row>
    <row r="90" spans="1:86" x14ac:dyDescent="0.2">
      <c r="A90" s="3" t="s">
        <v>6</v>
      </c>
      <c r="B90" s="39">
        <v>478</v>
      </c>
      <c r="C90" s="82"/>
      <c r="D90" s="27"/>
      <c r="E90" s="27"/>
      <c r="F90" s="27"/>
      <c r="G90" s="27"/>
      <c r="H90" s="27"/>
      <c r="I90" s="27"/>
      <c r="J90" s="27"/>
      <c r="K90" s="27"/>
      <c r="L90" s="27"/>
      <c r="M90" s="27"/>
      <c r="BF90" s="5">
        <v>0.20499999999999999</v>
      </c>
      <c r="BM90" s="5">
        <v>0.34200000000000003</v>
      </c>
      <c r="BP90"/>
      <c r="BR90"/>
      <c r="BS90"/>
      <c r="CH90" s="44"/>
    </row>
    <row r="91" spans="1:86" x14ac:dyDescent="0.2">
      <c r="A91" s="3" t="s">
        <v>6</v>
      </c>
      <c r="B91" s="39">
        <v>478</v>
      </c>
      <c r="C91" s="82"/>
      <c r="D91" s="27"/>
      <c r="E91" s="27"/>
      <c r="F91" s="27"/>
      <c r="G91" s="27"/>
      <c r="H91" s="27"/>
      <c r="I91" s="27"/>
      <c r="J91" s="27"/>
      <c r="K91" s="27"/>
      <c r="L91" s="27"/>
      <c r="M91" s="27"/>
      <c r="BF91" s="5">
        <v>0.20399999999999999</v>
      </c>
      <c r="BM91" s="5">
        <v>0.33900000000000002</v>
      </c>
      <c r="BP91"/>
      <c r="BR91"/>
      <c r="BS91"/>
      <c r="CH91" s="44"/>
    </row>
    <row r="92" spans="1:86" x14ac:dyDescent="0.2">
      <c r="A92" s="3" t="s">
        <v>6</v>
      </c>
      <c r="B92" s="39">
        <v>478</v>
      </c>
      <c r="C92" s="82"/>
      <c r="D92" s="27"/>
      <c r="E92" s="27"/>
      <c r="F92" s="27"/>
      <c r="G92" s="27"/>
      <c r="H92" s="27"/>
      <c r="I92" s="27"/>
      <c r="J92" s="27"/>
      <c r="K92" s="27"/>
      <c r="L92" s="27"/>
      <c r="M92" s="27"/>
      <c r="BF92" s="5">
        <v>0.23799999999999999</v>
      </c>
      <c r="BL92" s="5">
        <v>0.28499999999999998</v>
      </c>
      <c r="BP92"/>
      <c r="BR92"/>
      <c r="BS92"/>
      <c r="CH92" s="44"/>
    </row>
    <row r="93" spans="1:86" x14ac:dyDescent="0.2">
      <c r="A93" s="3" t="s">
        <v>6</v>
      </c>
      <c r="B93" s="39">
        <v>478</v>
      </c>
      <c r="C93" s="82"/>
      <c r="D93" s="27"/>
      <c r="E93" s="27"/>
      <c r="F93" s="27"/>
      <c r="G93" s="27"/>
      <c r="H93" s="27"/>
      <c r="I93" s="27"/>
      <c r="J93" s="27"/>
      <c r="K93" s="27"/>
      <c r="L93" s="27"/>
      <c r="M93" s="27"/>
      <c r="BF93" s="5">
        <v>0.155</v>
      </c>
      <c r="BM93" s="5">
        <v>0.26200000000000001</v>
      </c>
      <c r="BP93"/>
      <c r="BR93"/>
      <c r="BS93"/>
      <c r="CH93" s="44"/>
    </row>
    <row r="94" spans="1:86" x14ac:dyDescent="0.2">
      <c r="A94" s="3" t="s">
        <v>6</v>
      </c>
      <c r="B94" s="39">
        <v>478</v>
      </c>
      <c r="C94" s="82"/>
      <c r="D94" s="27"/>
      <c r="E94" s="27"/>
      <c r="F94" s="27"/>
      <c r="G94" s="27"/>
      <c r="H94" s="27"/>
      <c r="I94" s="27"/>
      <c r="J94" s="27"/>
      <c r="K94" s="27"/>
      <c r="L94" s="27"/>
      <c r="M94" s="27"/>
      <c r="BF94" s="5">
        <v>9.4E-2</v>
      </c>
      <c r="BM94" s="5">
        <v>6.8000000000000005E-2</v>
      </c>
      <c r="BP94"/>
      <c r="BR94"/>
      <c r="BS94"/>
      <c r="CH94" s="44"/>
    </row>
    <row r="95" spans="1:86" x14ac:dyDescent="0.2">
      <c r="A95" s="3" t="s">
        <v>6</v>
      </c>
      <c r="B95" s="39">
        <v>478</v>
      </c>
      <c r="C95" s="82"/>
      <c r="D95" s="27"/>
      <c r="E95" s="27"/>
      <c r="F95" s="27"/>
      <c r="G95" s="27"/>
      <c r="H95" s="27"/>
      <c r="I95" s="27"/>
      <c r="J95" s="27"/>
      <c r="K95" s="27"/>
      <c r="L95" s="27"/>
      <c r="M95" s="27"/>
      <c r="BF95" s="5">
        <v>0.38400000000000001</v>
      </c>
      <c r="BM95" s="5">
        <v>0.19400000000000001</v>
      </c>
      <c r="BP95"/>
      <c r="BR95"/>
      <c r="BS95"/>
      <c r="CH95" s="44"/>
    </row>
    <row r="96" spans="1:86" x14ac:dyDescent="0.2">
      <c r="A96" s="3" t="s">
        <v>6</v>
      </c>
      <c r="B96" s="39">
        <v>478</v>
      </c>
      <c r="C96" s="82"/>
      <c r="D96" s="27"/>
      <c r="E96" s="27"/>
      <c r="F96" s="27"/>
      <c r="G96" s="27"/>
      <c r="H96" s="27"/>
      <c r="I96" s="27"/>
      <c r="J96" s="27"/>
      <c r="K96" s="27"/>
      <c r="L96" s="27"/>
      <c r="M96" s="27"/>
      <c r="BF96" s="5">
        <v>0.13900000000000001</v>
      </c>
      <c r="BM96" s="5">
        <v>0.28499999999999998</v>
      </c>
      <c r="BP96"/>
      <c r="BR96"/>
      <c r="BS96"/>
      <c r="CH96" s="44"/>
    </row>
    <row r="97" spans="1:86" x14ac:dyDescent="0.2">
      <c r="A97" s="3" t="s">
        <v>6</v>
      </c>
      <c r="B97" s="39">
        <v>478</v>
      </c>
      <c r="C97" s="82"/>
      <c r="D97" s="27"/>
      <c r="E97" s="27"/>
      <c r="F97" s="27"/>
      <c r="G97" s="27"/>
      <c r="H97" s="27"/>
      <c r="I97" s="27"/>
      <c r="J97" s="27"/>
      <c r="K97" s="27"/>
      <c r="L97" s="27"/>
      <c r="M97" s="27"/>
      <c r="BF97" s="5">
        <v>9.6000000000000002E-2</v>
      </c>
      <c r="BM97" s="5">
        <v>0.16700000000000001</v>
      </c>
      <c r="BP97"/>
      <c r="BR97"/>
      <c r="BS97"/>
      <c r="CH97" s="44"/>
    </row>
    <row r="98" spans="1:86" x14ac:dyDescent="0.2">
      <c r="A98" s="3" t="s">
        <v>6</v>
      </c>
      <c r="B98" s="39">
        <v>478</v>
      </c>
      <c r="C98" s="82"/>
      <c r="D98" s="27"/>
      <c r="E98" s="27"/>
      <c r="F98" s="27"/>
      <c r="G98" s="27"/>
      <c r="H98" s="27"/>
      <c r="I98" s="27"/>
      <c r="J98" s="27"/>
      <c r="K98" s="27"/>
      <c r="L98" s="27"/>
      <c r="M98" s="27"/>
      <c r="BM98" s="5">
        <v>5.8000000000000003E-2</v>
      </c>
      <c r="BP98"/>
      <c r="BR98" s="5">
        <v>7.6999999999999999E-2</v>
      </c>
      <c r="BS98"/>
      <c r="CH98" s="44"/>
    </row>
    <row r="99" spans="1:86" x14ac:dyDescent="0.2">
      <c r="A99" s="3" t="s">
        <v>6</v>
      </c>
      <c r="B99" s="39">
        <v>478</v>
      </c>
      <c r="C99" s="82"/>
      <c r="D99" s="27"/>
      <c r="E99" s="27"/>
      <c r="F99" s="27"/>
      <c r="G99" s="27"/>
      <c r="H99" s="27"/>
      <c r="I99" s="27"/>
      <c r="J99" s="27"/>
      <c r="K99" s="27"/>
      <c r="L99" s="27"/>
      <c r="M99" s="27"/>
      <c r="BE99" s="5">
        <v>1.4999999999999999E-2</v>
      </c>
      <c r="BM99" s="5">
        <v>2.8000000000000001E-2</v>
      </c>
      <c r="BP99"/>
      <c r="BR99"/>
      <c r="BS99"/>
      <c r="CH99" s="44"/>
    </row>
    <row r="100" spans="1:86" x14ac:dyDescent="0.2">
      <c r="A100" s="3" t="s">
        <v>6</v>
      </c>
      <c r="B100" s="39">
        <v>478</v>
      </c>
      <c r="C100" s="82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BG100" s="5">
        <v>2.4E-2</v>
      </c>
      <c r="BL100" s="5">
        <v>0.04</v>
      </c>
      <c r="BP100"/>
      <c r="BR100"/>
      <c r="BS100"/>
      <c r="CH100" s="44"/>
    </row>
    <row r="101" spans="1:86" x14ac:dyDescent="0.2">
      <c r="A101" s="3" t="s">
        <v>6</v>
      </c>
      <c r="B101" s="39">
        <v>478</v>
      </c>
      <c r="C101" s="82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BF101" s="5">
        <v>1.4E-2</v>
      </c>
      <c r="BM101" s="5">
        <v>4.1000000000000002E-2</v>
      </c>
      <c r="BP101"/>
      <c r="BR101"/>
      <c r="BS101"/>
      <c r="CH101" s="44"/>
    </row>
    <row r="102" spans="1:86" x14ac:dyDescent="0.2">
      <c r="A102" s="3" t="s">
        <v>6</v>
      </c>
      <c r="B102" s="39">
        <v>478</v>
      </c>
      <c r="C102" s="82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BF102" s="5">
        <v>5.7000000000000002E-2</v>
      </c>
      <c r="BL102" s="5">
        <v>5.3999999999999999E-2</v>
      </c>
      <c r="BP102"/>
      <c r="BR102"/>
      <c r="BS102"/>
      <c r="CH102" s="44"/>
    </row>
    <row r="103" spans="1:86" x14ac:dyDescent="0.2">
      <c r="A103" s="3" t="s">
        <v>6</v>
      </c>
      <c r="B103" s="39">
        <v>478</v>
      </c>
      <c r="C103" s="82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BF103" s="5">
        <v>1.7000000000000001E-2</v>
      </c>
      <c r="BL103" s="5">
        <v>0.03</v>
      </c>
      <c r="BP103"/>
      <c r="BR103"/>
      <c r="BS103"/>
      <c r="CH103" s="44"/>
    </row>
    <row r="104" spans="1:86" x14ac:dyDescent="0.2">
      <c r="A104" s="3" t="s">
        <v>6</v>
      </c>
      <c r="B104" s="39">
        <v>478</v>
      </c>
      <c r="C104" s="82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BF104" s="5">
        <v>0.153</v>
      </c>
      <c r="BK104" s="5">
        <v>0.17</v>
      </c>
      <c r="BP104"/>
      <c r="BR104"/>
      <c r="BS104"/>
      <c r="CH104" s="44"/>
    </row>
    <row r="105" spans="1:86" x14ac:dyDescent="0.2">
      <c r="A105" s="3" t="s">
        <v>6</v>
      </c>
      <c r="B105" s="39">
        <v>478</v>
      </c>
      <c r="C105" s="82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BF105" s="5">
        <v>7.1999999999999995E-2</v>
      </c>
      <c r="BK105" s="5">
        <v>9.2999999999999999E-2</v>
      </c>
      <c r="BP105"/>
      <c r="BR105"/>
      <c r="BS105"/>
      <c r="CH105" s="44"/>
    </row>
    <row r="106" spans="1:86" x14ac:dyDescent="0.2">
      <c r="A106" s="3" t="s">
        <v>6</v>
      </c>
      <c r="B106" s="39">
        <v>478</v>
      </c>
      <c r="C106" s="82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BG106" s="5">
        <v>0.10100000000000001</v>
      </c>
      <c r="BP106" s="5">
        <v>0.13600000000000001</v>
      </c>
      <c r="BR106"/>
      <c r="BS106"/>
      <c r="CH106" s="44"/>
    </row>
    <row r="107" spans="1:86" x14ac:dyDescent="0.2">
      <c r="A107" s="3" t="s">
        <v>6</v>
      </c>
      <c r="B107" s="39">
        <v>478</v>
      </c>
      <c r="C107" s="82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BM107" s="5">
        <v>0.18</v>
      </c>
      <c r="BP107"/>
      <c r="BR107" s="5">
        <v>0.23899999999999999</v>
      </c>
      <c r="BS107"/>
      <c r="CH107" s="44"/>
    </row>
    <row r="108" spans="1:86" x14ac:dyDescent="0.2">
      <c r="A108" s="3" t="s">
        <v>6</v>
      </c>
      <c r="B108" s="39">
        <v>478</v>
      </c>
      <c r="C108" s="82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BE108" s="5">
        <v>1.9E-2</v>
      </c>
      <c r="BM108" s="5">
        <v>3.4000000000000002E-2</v>
      </c>
      <c r="BP108"/>
      <c r="BR108"/>
      <c r="BS108"/>
      <c r="CH108" s="44"/>
    </row>
    <row r="109" spans="1:86" x14ac:dyDescent="0.2">
      <c r="A109" s="3" t="s">
        <v>6</v>
      </c>
      <c r="B109" s="39">
        <v>478</v>
      </c>
      <c r="C109" s="82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BG109" s="5">
        <v>1.6E-2</v>
      </c>
      <c r="BL109" s="5">
        <v>2.8000000000000001E-2</v>
      </c>
      <c r="BP109"/>
      <c r="BR109"/>
      <c r="BS109"/>
      <c r="CH109" s="44"/>
    </row>
    <row r="110" spans="1:86" x14ac:dyDescent="0.2">
      <c r="A110" s="3" t="s">
        <v>6</v>
      </c>
      <c r="B110" s="39">
        <v>478</v>
      </c>
      <c r="C110" s="82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BF110" s="5">
        <v>0.11799999999999999</v>
      </c>
      <c r="BM110" s="5">
        <v>0.17399999999999999</v>
      </c>
      <c r="BP110"/>
      <c r="BR110"/>
      <c r="BS110"/>
      <c r="CH110" s="44"/>
    </row>
    <row r="111" spans="1:86" x14ac:dyDescent="0.2">
      <c r="A111" s="3" t="s">
        <v>6</v>
      </c>
      <c r="B111" s="39">
        <v>478</v>
      </c>
      <c r="C111" s="82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BF111" s="5">
        <v>0.28100000000000003</v>
      </c>
      <c r="BL111" s="5">
        <v>0.307</v>
      </c>
      <c r="BP111"/>
      <c r="BR111"/>
      <c r="BS111"/>
      <c r="CH111" s="44"/>
    </row>
    <row r="112" spans="1:86" x14ac:dyDescent="0.2">
      <c r="A112" s="3" t="s">
        <v>6</v>
      </c>
      <c r="B112" s="39">
        <v>478</v>
      </c>
      <c r="C112" s="82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BF112" s="5">
        <v>0.183</v>
      </c>
      <c r="BL112" s="5">
        <v>0.17599999999999999</v>
      </c>
      <c r="BP112"/>
      <c r="BR112"/>
      <c r="BS112"/>
      <c r="CH112" s="44"/>
    </row>
    <row r="113" spans="1:86" x14ac:dyDescent="0.2">
      <c r="A113" s="3" t="s">
        <v>6</v>
      </c>
      <c r="B113" s="39">
        <v>478</v>
      </c>
      <c r="C113" s="82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BF113" s="5">
        <v>0.16600000000000001</v>
      </c>
      <c r="BK113" s="5">
        <v>0.249</v>
      </c>
      <c r="BP113"/>
      <c r="BR113"/>
      <c r="BS113"/>
      <c r="CH113" s="44"/>
    </row>
    <row r="114" spans="1:86" x14ac:dyDescent="0.2">
      <c r="A114" s="3" t="s">
        <v>6</v>
      </c>
      <c r="B114" s="39">
        <v>478</v>
      </c>
      <c r="C114" s="82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BF114" s="5">
        <v>7.2999999999999995E-2</v>
      </c>
      <c r="BK114" s="5">
        <v>0.128</v>
      </c>
      <c r="BP114"/>
      <c r="BR114"/>
      <c r="BS114"/>
      <c r="CH114" s="44"/>
    </row>
    <row r="115" spans="1:86" x14ac:dyDescent="0.2">
      <c r="A115" s="3" t="s">
        <v>6</v>
      </c>
      <c r="B115" s="39">
        <v>478</v>
      </c>
      <c r="C115" s="82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BD115" s="5">
        <v>0.24099999999999999</v>
      </c>
      <c r="BH115" s="5">
        <v>0.22900000000000001</v>
      </c>
      <c r="BP115"/>
      <c r="BR115"/>
      <c r="BS115"/>
      <c r="CH115" s="44"/>
    </row>
    <row r="116" spans="1:86" x14ac:dyDescent="0.2">
      <c r="A116" s="3" t="s">
        <v>6</v>
      </c>
      <c r="B116" s="39">
        <v>478</v>
      </c>
      <c r="C116" s="82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BE116" s="5">
        <v>0.105</v>
      </c>
      <c r="BL116" s="5">
        <v>0.125</v>
      </c>
      <c r="BP116"/>
      <c r="BR116"/>
      <c r="BS116"/>
      <c r="CH116" s="44"/>
    </row>
    <row r="117" spans="1:86" x14ac:dyDescent="0.2">
      <c r="A117" s="3" t="s">
        <v>6</v>
      </c>
      <c r="B117" s="39">
        <v>478</v>
      </c>
      <c r="C117" s="82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BE117" s="5">
        <v>8.8999999999999996E-2</v>
      </c>
      <c r="BL117" s="5">
        <v>0.11</v>
      </c>
      <c r="BP117"/>
      <c r="BR117"/>
      <c r="BS117"/>
      <c r="CH117" s="44"/>
    </row>
    <row r="118" spans="1:86" x14ac:dyDescent="0.2">
      <c r="A118" s="3" t="s">
        <v>6</v>
      </c>
      <c r="B118" s="39">
        <v>478</v>
      </c>
      <c r="C118" s="82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BE118" s="5">
        <v>0.123</v>
      </c>
      <c r="BL118" s="5">
        <v>0.14899999999999999</v>
      </c>
      <c r="BP118"/>
      <c r="BR118"/>
      <c r="BS118"/>
      <c r="CH118" s="44"/>
    </row>
    <row r="119" spans="1:86" x14ac:dyDescent="0.2">
      <c r="A119" s="3" t="s">
        <v>6</v>
      </c>
      <c r="B119" s="39">
        <v>478</v>
      </c>
      <c r="C119" s="82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BF119" s="5">
        <v>0.14000000000000001</v>
      </c>
      <c r="BL119" s="5">
        <v>0.17599999999999999</v>
      </c>
      <c r="BP119"/>
      <c r="BR119"/>
      <c r="BS119"/>
      <c r="CH119" s="44"/>
    </row>
    <row r="120" spans="1:86" x14ac:dyDescent="0.2">
      <c r="A120" s="3" t="s">
        <v>6</v>
      </c>
      <c r="B120" s="39">
        <v>478</v>
      </c>
      <c r="C120" s="82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BF120" s="5">
        <v>0.121</v>
      </c>
      <c r="BL120" s="5">
        <v>0.13400000000000001</v>
      </c>
      <c r="BP120"/>
      <c r="BR120"/>
      <c r="BS120"/>
      <c r="CH120" s="44"/>
    </row>
    <row r="121" spans="1:86" x14ac:dyDescent="0.2">
      <c r="A121" s="3" t="s">
        <v>6</v>
      </c>
      <c r="B121" s="39">
        <v>478</v>
      </c>
      <c r="C121" s="82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BF121" s="5">
        <v>0.114</v>
      </c>
      <c r="BL121" s="5">
        <v>0.16300000000000001</v>
      </c>
      <c r="BP121"/>
      <c r="BR121"/>
      <c r="BS121"/>
      <c r="CH121" s="44"/>
    </row>
    <row r="122" spans="1:86" x14ac:dyDescent="0.2">
      <c r="A122" s="3" t="s">
        <v>6</v>
      </c>
      <c r="B122" s="39">
        <v>478</v>
      </c>
      <c r="C122" s="82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BF122" s="5">
        <v>0.125</v>
      </c>
      <c r="BL122" s="5">
        <v>0.13300000000000001</v>
      </c>
      <c r="BP122"/>
      <c r="BR122"/>
      <c r="BS122"/>
      <c r="CH122" s="44"/>
    </row>
    <row r="123" spans="1:86" x14ac:dyDescent="0.2">
      <c r="A123" s="3" t="s">
        <v>6</v>
      </c>
      <c r="B123" s="39">
        <v>478</v>
      </c>
      <c r="C123" s="82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BF123" s="5">
        <v>0.125</v>
      </c>
      <c r="BM123" s="5">
        <v>0.14299999999999999</v>
      </c>
      <c r="BP123"/>
      <c r="BR123"/>
      <c r="BS123"/>
      <c r="CH123" s="44"/>
    </row>
    <row r="124" spans="1:86" x14ac:dyDescent="0.2">
      <c r="A124" s="3" t="s">
        <v>6</v>
      </c>
      <c r="B124" s="39">
        <v>478</v>
      </c>
      <c r="C124" s="82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BI124" s="5">
        <v>0.18</v>
      </c>
      <c r="BN124" s="5">
        <v>0.17199999999999999</v>
      </c>
      <c r="BP124"/>
      <c r="BR124"/>
      <c r="BS124"/>
      <c r="CH124" s="44"/>
    </row>
    <row r="125" spans="1:86" x14ac:dyDescent="0.2">
      <c r="A125" s="3" t="s">
        <v>6</v>
      </c>
      <c r="B125" s="39">
        <v>478</v>
      </c>
      <c r="C125" s="82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BF125" s="5">
        <v>9.6000000000000002E-2</v>
      </c>
      <c r="BL125" s="5">
        <v>8.5999999999999993E-2</v>
      </c>
      <c r="BP125"/>
      <c r="BR125"/>
      <c r="BS125"/>
      <c r="CH125" s="44"/>
    </row>
    <row r="126" spans="1:86" x14ac:dyDescent="0.2">
      <c r="A126" s="3" t="s">
        <v>6</v>
      </c>
      <c r="B126" s="39">
        <v>478</v>
      </c>
      <c r="C126" s="82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BF126" s="5">
        <v>6.8000000000000005E-2</v>
      </c>
      <c r="BL126" s="5">
        <v>0.104</v>
      </c>
      <c r="BP126"/>
      <c r="BR126"/>
      <c r="BS126"/>
      <c r="CH126" s="44"/>
    </row>
    <row r="127" spans="1:86" x14ac:dyDescent="0.2">
      <c r="A127" s="3" t="s">
        <v>6</v>
      </c>
      <c r="B127" s="39">
        <v>478</v>
      </c>
      <c r="C127" s="82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BJ127" s="5">
        <v>9.9000000000000005E-2</v>
      </c>
      <c r="BN127" s="5">
        <v>0.109</v>
      </c>
      <c r="BP127"/>
      <c r="BR127"/>
      <c r="BS127"/>
      <c r="CH127" s="44"/>
    </row>
    <row r="128" spans="1:86" x14ac:dyDescent="0.2">
      <c r="A128" s="3" t="s">
        <v>6</v>
      </c>
      <c r="B128" s="39">
        <v>478</v>
      </c>
      <c r="C128" s="82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BE128" s="5">
        <v>0.03</v>
      </c>
      <c r="BL128" s="5">
        <v>8.7999999999999995E-2</v>
      </c>
      <c r="BP128"/>
      <c r="BR128"/>
      <c r="BS128"/>
      <c r="CH128" s="44"/>
    </row>
    <row r="129" spans="1:86" x14ac:dyDescent="0.2">
      <c r="A129" s="3" t="s">
        <v>6</v>
      </c>
      <c r="B129" s="39">
        <v>478</v>
      </c>
      <c r="C129" s="82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BE129" s="5">
        <v>4.1000000000000002E-2</v>
      </c>
      <c r="BL129" s="5">
        <v>5.8000000000000003E-2</v>
      </c>
      <c r="BP129"/>
      <c r="BR129"/>
      <c r="BS129"/>
      <c r="CH129" s="44"/>
    </row>
    <row r="130" spans="1:86" x14ac:dyDescent="0.2">
      <c r="A130" s="3" t="s">
        <v>6</v>
      </c>
      <c r="B130" s="39">
        <v>478</v>
      </c>
      <c r="C130" s="82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BJ130" s="5">
        <v>0.30499999999999999</v>
      </c>
      <c r="BN130" s="5">
        <v>0.29199999999999998</v>
      </c>
      <c r="BP130"/>
      <c r="BR130"/>
      <c r="BS130"/>
      <c r="CH130" s="44"/>
    </row>
    <row r="131" spans="1:86" x14ac:dyDescent="0.2">
      <c r="A131" s="3" t="s">
        <v>6</v>
      </c>
      <c r="B131" s="39">
        <v>478</v>
      </c>
      <c r="C131" s="82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BJ131" s="5">
        <v>0.24399999999999999</v>
      </c>
      <c r="BN131" s="5">
        <v>0.26800000000000002</v>
      </c>
      <c r="BP131"/>
      <c r="BR131"/>
      <c r="BS131"/>
      <c r="CH131" s="44"/>
    </row>
    <row r="132" spans="1:86" x14ac:dyDescent="0.2">
      <c r="A132" s="3" t="s">
        <v>6</v>
      </c>
      <c r="B132" s="39">
        <v>478</v>
      </c>
      <c r="C132" s="82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BG132" s="5">
        <v>4.4999999999999998E-2</v>
      </c>
      <c r="BN132" s="5">
        <v>3.4000000000000002E-2</v>
      </c>
      <c r="BP132"/>
      <c r="BR132"/>
      <c r="BS132"/>
      <c r="CH132" s="44"/>
    </row>
    <row r="133" spans="1:86" x14ac:dyDescent="0.2">
      <c r="A133" s="3" t="s">
        <v>6</v>
      </c>
      <c r="B133" s="39">
        <v>478</v>
      </c>
      <c r="C133" s="82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BG133" s="5"/>
      <c r="BJ133" s="5">
        <v>0.24</v>
      </c>
      <c r="BN133" s="5"/>
      <c r="BO133" s="5">
        <v>0.34599999999999997</v>
      </c>
      <c r="BP133"/>
      <c r="BR133"/>
      <c r="BS133"/>
      <c r="CH133" s="44"/>
    </row>
    <row r="134" spans="1:86" x14ac:dyDescent="0.2">
      <c r="A134" s="3" t="s">
        <v>6</v>
      </c>
      <c r="B134" s="39">
        <v>478</v>
      </c>
      <c r="C134" s="82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BG134" s="5">
        <v>5.1999999999999998E-2</v>
      </c>
      <c r="BN134" s="5">
        <v>2.4E-2</v>
      </c>
      <c r="BP134"/>
      <c r="BR134"/>
      <c r="BS134"/>
      <c r="CH134" s="44"/>
    </row>
    <row r="135" spans="1:86" x14ac:dyDescent="0.2">
      <c r="A135" s="3" t="s">
        <v>6</v>
      </c>
      <c r="B135" s="39">
        <v>478</v>
      </c>
      <c r="C135" s="82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BG135" s="5">
        <v>4.1000000000000002E-2</v>
      </c>
      <c r="BN135" s="5">
        <v>4.2999999999999997E-2</v>
      </c>
      <c r="BP135"/>
      <c r="BR135"/>
      <c r="BS135"/>
      <c r="CH135" s="44"/>
    </row>
    <row r="136" spans="1:86" x14ac:dyDescent="0.2">
      <c r="A136" s="3" t="s">
        <v>6</v>
      </c>
      <c r="B136" s="39">
        <v>478</v>
      </c>
      <c r="C136" s="82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BG136" s="5">
        <v>0.17499999999999999</v>
      </c>
      <c r="BM136" s="5">
        <v>0.106</v>
      </c>
      <c r="BP136"/>
      <c r="BR136"/>
      <c r="BS136"/>
      <c r="CH136" s="44"/>
    </row>
    <row r="137" spans="1:86" x14ac:dyDescent="0.2">
      <c r="A137" s="3" t="s">
        <v>6</v>
      </c>
      <c r="B137" s="39">
        <v>478</v>
      </c>
      <c r="C137" s="82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BH137" s="5">
        <v>5.8999999999999997E-2</v>
      </c>
      <c r="BN137" s="5">
        <v>8.6999999999999994E-2</v>
      </c>
      <c r="BP137"/>
      <c r="BR137"/>
      <c r="BS137"/>
      <c r="CH137" s="44"/>
    </row>
    <row r="138" spans="1:86" x14ac:dyDescent="0.2">
      <c r="A138" s="3" t="s">
        <v>6</v>
      </c>
      <c r="B138" s="39">
        <v>478</v>
      </c>
      <c r="C138" s="82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BG138" s="5">
        <v>0.11600000000000001</v>
      </c>
      <c r="BN138" s="5">
        <v>3.5999999999999997E-2</v>
      </c>
      <c r="BP138"/>
      <c r="BR138"/>
      <c r="BS138"/>
      <c r="CH138" s="44"/>
    </row>
    <row r="139" spans="1:86" x14ac:dyDescent="0.2">
      <c r="A139" s="3" t="s">
        <v>6</v>
      </c>
      <c r="B139" s="39">
        <v>478</v>
      </c>
      <c r="C139" s="82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BG139" s="5">
        <v>4.7E-2</v>
      </c>
      <c r="BN139" s="5">
        <v>1.7999999999999999E-2</v>
      </c>
      <c r="BP139"/>
      <c r="BR139"/>
      <c r="BS139"/>
      <c r="CH139" s="44"/>
    </row>
    <row r="140" spans="1:86" x14ac:dyDescent="0.2">
      <c r="A140" s="3" t="s">
        <v>6</v>
      </c>
      <c r="B140" s="39">
        <v>478</v>
      </c>
      <c r="C140" s="82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BG140" s="5">
        <v>0.03</v>
      </c>
      <c r="BN140" s="5">
        <v>2.5999999999999999E-2</v>
      </c>
      <c r="BP140"/>
      <c r="BR140"/>
      <c r="BS140"/>
      <c r="CH140" s="44"/>
    </row>
    <row r="141" spans="1:86" x14ac:dyDescent="0.2">
      <c r="A141" s="3" t="s">
        <v>6</v>
      </c>
      <c r="B141" s="39">
        <v>478</v>
      </c>
      <c r="C141" s="82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BG141" s="5">
        <v>0.113</v>
      </c>
      <c r="BM141" s="5">
        <v>0.128</v>
      </c>
      <c r="BP141"/>
      <c r="BR141"/>
      <c r="BS141"/>
      <c r="CH141" s="44"/>
    </row>
    <row r="142" spans="1:86" x14ac:dyDescent="0.2">
      <c r="A142" s="3" t="s">
        <v>6</v>
      </c>
      <c r="B142" s="39">
        <v>478</v>
      </c>
      <c r="C142" s="82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BC142" s="5">
        <v>6.0999999999999999E-2</v>
      </c>
      <c r="BH142" s="5">
        <v>6.5000000000000002E-2</v>
      </c>
      <c r="BP142"/>
      <c r="BR142"/>
      <c r="BS142"/>
      <c r="CH142" s="44"/>
    </row>
    <row r="143" spans="1:86" x14ac:dyDescent="0.2">
      <c r="A143" s="3" t="s">
        <v>6</v>
      </c>
      <c r="B143" s="39">
        <v>478</v>
      </c>
      <c r="C143" s="82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BC143" s="5">
        <v>0.04</v>
      </c>
      <c r="BH143" s="5">
        <v>1.2E-2</v>
      </c>
      <c r="BP143"/>
      <c r="BR143"/>
      <c r="BS143"/>
      <c r="CH143" s="44"/>
    </row>
    <row r="144" spans="1:86" x14ac:dyDescent="0.2">
      <c r="A144" s="3" t="s">
        <v>6</v>
      </c>
      <c r="B144" s="39">
        <v>478</v>
      </c>
      <c r="C144" s="82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BF144" s="5">
        <v>0.15</v>
      </c>
      <c r="BM144" s="5">
        <v>7.2999999999999995E-2</v>
      </c>
      <c r="BP144"/>
      <c r="BR144"/>
      <c r="BS144"/>
      <c r="CH144" s="44"/>
    </row>
    <row r="145" spans="1:86" x14ac:dyDescent="0.2">
      <c r="A145" s="3" t="s">
        <v>6</v>
      </c>
      <c r="B145" s="39">
        <v>478</v>
      </c>
      <c r="C145" s="82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BF145" s="5">
        <v>0.17</v>
      </c>
      <c r="BM145" s="5">
        <v>7.0000000000000007E-2</v>
      </c>
      <c r="BP145"/>
      <c r="BR145"/>
      <c r="BS145"/>
      <c r="CH145" s="44"/>
    </row>
    <row r="146" spans="1:86" x14ac:dyDescent="0.2">
      <c r="A146" s="3" t="s">
        <v>6</v>
      </c>
      <c r="B146" s="39">
        <v>478</v>
      </c>
      <c r="C146" s="82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BF146" s="5">
        <v>3.9E-2</v>
      </c>
      <c r="BM146" s="5">
        <v>6.0999999999999999E-2</v>
      </c>
      <c r="BP146"/>
      <c r="BR146"/>
      <c r="BS146"/>
      <c r="CH146" s="44"/>
    </row>
    <row r="147" spans="1:86" x14ac:dyDescent="0.2">
      <c r="A147" s="3" t="s">
        <v>6</v>
      </c>
      <c r="B147" s="39">
        <v>478</v>
      </c>
      <c r="C147" s="82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BF147" s="5">
        <v>4.2000000000000003E-2</v>
      </c>
      <c r="BM147" s="5">
        <v>6.9000000000000006E-2</v>
      </c>
      <c r="BP147"/>
      <c r="BR147"/>
      <c r="BS147"/>
      <c r="CH147" s="44"/>
    </row>
    <row r="148" spans="1:86" x14ac:dyDescent="0.2">
      <c r="A148" s="3" t="s">
        <v>6</v>
      </c>
      <c r="B148" s="39">
        <v>478</v>
      </c>
      <c r="C148" s="82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BG148" s="5">
        <v>0.13600000000000001</v>
      </c>
      <c r="BJ148" s="5">
        <v>0.15</v>
      </c>
      <c r="BP148"/>
      <c r="BR148"/>
      <c r="BS148"/>
      <c r="CH148" s="44"/>
    </row>
    <row r="149" spans="1:86" x14ac:dyDescent="0.2">
      <c r="A149" s="3" t="s">
        <v>6</v>
      </c>
      <c r="B149" s="39">
        <v>478</v>
      </c>
      <c r="C149" s="82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BG149" s="5">
        <v>0.126</v>
      </c>
      <c r="BJ149" s="5">
        <v>0.14000000000000001</v>
      </c>
      <c r="BP149"/>
      <c r="BR149"/>
      <c r="BS149"/>
      <c r="CH149" s="44"/>
    </row>
    <row r="150" spans="1:86" x14ac:dyDescent="0.2">
      <c r="A150" s="3" t="s">
        <v>6</v>
      </c>
      <c r="B150" s="39">
        <v>478</v>
      </c>
      <c r="C150" s="82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BG150" s="5">
        <v>0.155</v>
      </c>
      <c r="BM150" s="5">
        <v>0.16800000000000001</v>
      </c>
      <c r="BP150"/>
      <c r="BR150"/>
      <c r="BS150"/>
      <c r="CH150" s="44"/>
    </row>
    <row r="151" spans="1:86" x14ac:dyDescent="0.2">
      <c r="A151" s="3" t="s">
        <v>6</v>
      </c>
      <c r="B151" s="39">
        <v>478</v>
      </c>
      <c r="C151" s="82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BF151" s="5">
        <v>0.10299999999999999</v>
      </c>
      <c r="BN151" s="5">
        <v>8.4000000000000005E-2</v>
      </c>
      <c r="BP151"/>
      <c r="BR151"/>
      <c r="BS151"/>
      <c r="CH151" s="44"/>
    </row>
    <row r="152" spans="1:86" x14ac:dyDescent="0.2">
      <c r="A152" s="3" t="s">
        <v>6</v>
      </c>
      <c r="B152" s="39">
        <v>478</v>
      </c>
      <c r="C152" s="82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BF152" s="5">
        <v>6.3E-2</v>
      </c>
      <c r="BL152" s="5">
        <v>0.06</v>
      </c>
      <c r="BP152"/>
      <c r="BR152"/>
      <c r="BS152"/>
      <c r="CH152" s="44"/>
    </row>
    <row r="153" spans="1:86" x14ac:dyDescent="0.2">
      <c r="A153" s="3" t="s">
        <v>6</v>
      </c>
      <c r="B153" s="39">
        <v>478</v>
      </c>
      <c r="C153" s="82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BG153" s="5">
        <v>0.13200000000000001</v>
      </c>
      <c r="BJ153" s="5">
        <v>0.114</v>
      </c>
      <c r="BP153"/>
      <c r="BR153"/>
      <c r="BS153"/>
      <c r="CH153" s="44"/>
    </row>
    <row r="154" spans="1:86" x14ac:dyDescent="0.2">
      <c r="A154" s="3" t="s">
        <v>6</v>
      </c>
      <c r="B154" s="39">
        <v>478</v>
      </c>
      <c r="C154" s="82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BG154" s="5">
        <v>0.14000000000000001</v>
      </c>
      <c r="BJ154" s="5">
        <v>0.15</v>
      </c>
      <c r="BP154"/>
      <c r="BR154"/>
      <c r="BS154"/>
      <c r="CH154" s="44"/>
    </row>
    <row r="155" spans="1:86" x14ac:dyDescent="0.2">
      <c r="A155" s="3" t="s">
        <v>6</v>
      </c>
      <c r="B155" s="39">
        <v>478</v>
      </c>
      <c r="C155" s="82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BG155" s="5">
        <v>9.8000000000000004E-2</v>
      </c>
      <c r="BM155" s="5">
        <v>0.13600000000000001</v>
      </c>
      <c r="BP155"/>
      <c r="BR155"/>
      <c r="BS155"/>
      <c r="CH155" s="44"/>
    </row>
    <row r="156" spans="1:86" x14ac:dyDescent="0.2">
      <c r="A156" s="3" t="s">
        <v>6</v>
      </c>
      <c r="B156" s="39">
        <v>478</v>
      </c>
      <c r="C156" s="82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BF156" s="5">
        <v>5.2999999999999999E-2</v>
      </c>
      <c r="BN156" s="5">
        <v>4.4999999999999998E-2</v>
      </c>
      <c r="BP156"/>
      <c r="BR156"/>
      <c r="BS156"/>
      <c r="CH156" s="44"/>
    </row>
    <row r="157" spans="1:86" x14ac:dyDescent="0.2">
      <c r="A157" s="3" t="s">
        <v>6</v>
      </c>
      <c r="B157" s="39">
        <v>478</v>
      </c>
      <c r="C157" s="82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BC157" s="5">
        <v>0.11700000000000001</v>
      </c>
      <c r="BF157" s="5"/>
      <c r="BL157" s="5">
        <v>0.17399999999999999</v>
      </c>
      <c r="BN157" s="5"/>
      <c r="BP157"/>
      <c r="BR157"/>
      <c r="BS157"/>
      <c r="CH157" s="44"/>
    </row>
    <row r="158" spans="1:86" x14ac:dyDescent="0.2">
      <c r="A158" s="3" t="s">
        <v>6</v>
      </c>
      <c r="B158" s="39">
        <v>478</v>
      </c>
      <c r="C158" s="82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BF158" s="5">
        <v>0.129</v>
      </c>
      <c r="BM158" s="5">
        <v>0.184</v>
      </c>
      <c r="BP158"/>
      <c r="BR158"/>
      <c r="BS158"/>
      <c r="CH158" s="44"/>
    </row>
    <row r="159" spans="1:86" x14ac:dyDescent="0.2">
      <c r="A159" s="3" t="s">
        <v>6</v>
      </c>
      <c r="B159" s="39">
        <v>478</v>
      </c>
      <c r="C159" s="82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BF159" s="5">
        <v>0.157</v>
      </c>
      <c r="BM159" s="5">
        <v>0.19800000000000001</v>
      </c>
      <c r="BP159"/>
      <c r="BR159"/>
      <c r="BS159"/>
      <c r="CH159" s="44"/>
    </row>
    <row r="160" spans="1:86" x14ac:dyDescent="0.2">
      <c r="A160" s="3" t="s">
        <v>6</v>
      </c>
      <c r="B160" s="39">
        <v>478</v>
      </c>
      <c r="C160" s="82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BF160" s="5">
        <v>0.157</v>
      </c>
      <c r="BM160" s="5">
        <v>0.13300000000000001</v>
      </c>
      <c r="BP160"/>
      <c r="BR160"/>
      <c r="BS160"/>
      <c r="CH160" s="44"/>
    </row>
    <row r="161" spans="1:86" x14ac:dyDescent="0.2">
      <c r="A161" s="3" t="s">
        <v>6</v>
      </c>
      <c r="B161" s="39">
        <v>478</v>
      </c>
      <c r="C161" s="82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BF161" s="5">
        <v>0.19</v>
      </c>
      <c r="BM161" s="5">
        <v>0.20300000000000001</v>
      </c>
      <c r="BP161"/>
      <c r="BR161"/>
      <c r="BS161"/>
      <c r="CH161" s="44"/>
    </row>
    <row r="162" spans="1:86" x14ac:dyDescent="0.2">
      <c r="A162" s="3" t="s">
        <v>6</v>
      </c>
      <c r="B162" s="39">
        <v>478</v>
      </c>
      <c r="C162" s="82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BF162" s="5">
        <v>4.5999999999999999E-2</v>
      </c>
      <c r="BM162" s="5">
        <v>4.4999999999999998E-2</v>
      </c>
      <c r="BP162"/>
      <c r="BR162"/>
      <c r="BS162"/>
      <c r="CH162" s="44"/>
    </row>
    <row r="163" spans="1:86" x14ac:dyDescent="0.2">
      <c r="A163" s="3" t="s">
        <v>6</v>
      </c>
      <c r="B163" s="39">
        <v>478</v>
      </c>
      <c r="C163" s="82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BF163" s="5">
        <v>6.3E-2</v>
      </c>
      <c r="BK163" s="5">
        <v>6.2E-2</v>
      </c>
      <c r="BP163"/>
      <c r="BR163"/>
      <c r="BS163"/>
      <c r="CH163" s="44"/>
    </row>
    <row r="164" spans="1:86" x14ac:dyDescent="0.2">
      <c r="A164" s="3" t="s">
        <v>6</v>
      </c>
      <c r="B164" s="39">
        <v>478</v>
      </c>
      <c r="C164" s="82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BF164" s="5">
        <v>7.2999999999999995E-2</v>
      </c>
      <c r="BK164" s="5">
        <v>6.6000000000000003E-2</v>
      </c>
      <c r="BP164"/>
      <c r="BR164"/>
      <c r="BS164"/>
      <c r="CH164" s="44"/>
    </row>
    <row r="165" spans="1:86" x14ac:dyDescent="0.2">
      <c r="A165" s="3" t="s">
        <v>6</v>
      </c>
      <c r="B165" s="39">
        <v>478</v>
      </c>
      <c r="C165" s="82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BF165" s="5">
        <v>6.7000000000000004E-2</v>
      </c>
      <c r="BK165" s="5">
        <v>9.8000000000000004E-2</v>
      </c>
      <c r="BP165"/>
      <c r="BR165"/>
      <c r="BS165"/>
      <c r="CH165" s="44"/>
    </row>
    <row r="166" spans="1:86" x14ac:dyDescent="0.2">
      <c r="A166" s="3" t="s">
        <v>6</v>
      </c>
      <c r="B166" s="39">
        <v>478</v>
      </c>
      <c r="C166" s="82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BF166" s="5">
        <v>0.05</v>
      </c>
      <c r="BK166" s="5">
        <v>4.4999999999999998E-2</v>
      </c>
      <c r="BP166"/>
      <c r="BR166"/>
      <c r="BS166"/>
      <c r="CH166" s="44"/>
    </row>
    <row r="167" spans="1:86" x14ac:dyDescent="0.2">
      <c r="A167" s="3" t="s">
        <v>6</v>
      </c>
      <c r="B167" s="39">
        <v>478</v>
      </c>
      <c r="C167" s="82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BF167" s="5">
        <v>9.4E-2</v>
      </c>
      <c r="BK167" s="5">
        <v>0.111</v>
      </c>
      <c r="BP167"/>
      <c r="BR167"/>
      <c r="BS167"/>
      <c r="CH167" s="44"/>
    </row>
    <row r="168" spans="1:86" x14ac:dyDescent="0.2">
      <c r="A168" s="3" t="s">
        <v>6</v>
      </c>
      <c r="B168" s="39">
        <v>478</v>
      </c>
      <c r="C168" s="82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BH168" s="5">
        <v>9.1999999999999998E-2</v>
      </c>
      <c r="BN168" s="5">
        <v>0.11</v>
      </c>
      <c r="BP168"/>
      <c r="BR168"/>
      <c r="BS168"/>
      <c r="CH168" s="44"/>
    </row>
    <row r="169" spans="1:86" x14ac:dyDescent="0.2">
      <c r="A169" s="3" t="s">
        <v>6</v>
      </c>
      <c r="B169" s="39">
        <v>478</v>
      </c>
      <c r="C169" s="82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BC169" s="5">
        <v>0.184</v>
      </c>
      <c r="BL169" s="5">
        <v>0.152</v>
      </c>
      <c r="BP169"/>
      <c r="BR169"/>
      <c r="BS169"/>
      <c r="CH169" s="44"/>
    </row>
    <row r="170" spans="1:86" x14ac:dyDescent="0.2">
      <c r="A170" s="3" t="s">
        <v>6</v>
      </c>
      <c r="B170" s="39">
        <v>478</v>
      </c>
      <c r="C170" s="82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BC170" s="5">
        <v>0.184</v>
      </c>
      <c r="BL170" s="5">
        <v>0.152</v>
      </c>
      <c r="BP170"/>
      <c r="BR170"/>
      <c r="BS170"/>
      <c r="CH170" s="44"/>
    </row>
    <row r="171" spans="1:86" x14ac:dyDescent="0.2">
      <c r="A171" s="3" t="s">
        <v>6</v>
      </c>
      <c r="B171" s="39">
        <v>478</v>
      </c>
      <c r="C171" s="82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BG171" s="5">
        <v>0.185</v>
      </c>
      <c r="BM171" s="5">
        <v>0.20799999999999999</v>
      </c>
      <c r="BP171"/>
      <c r="BR171"/>
      <c r="BS171"/>
      <c r="CH171" s="44"/>
    </row>
    <row r="172" spans="1:86" x14ac:dyDescent="0.2">
      <c r="A172" s="3" t="s">
        <v>6</v>
      </c>
      <c r="B172" s="39">
        <v>478</v>
      </c>
      <c r="C172" s="82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BG172" s="5">
        <v>0.191</v>
      </c>
      <c r="BM172" s="5">
        <v>0.224</v>
      </c>
      <c r="BP172"/>
      <c r="BR172"/>
      <c r="BS172"/>
      <c r="CH172" s="44"/>
    </row>
    <row r="173" spans="1:86" x14ac:dyDescent="0.2">
      <c r="A173" s="3" t="s">
        <v>6</v>
      </c>
      <c r="B173" s="39">
        <v>478</v>
      </c>
      <c r="C173" s="82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BG173" s="5">
        <v>0.23400000000000001</v>
      </c>
      <c r="BM173" s="5">
        <v>0.21099999999999999</v>
      </c>
      <c r="BP173"/>
      <c r="BR173"/>
      <c r="BS173"/>
      <c r="CH173" s="44"/>
    </row>
    <row r="174" spans="1:86" x14ac:dyDescent="0.2">
      <c r="A174" s="3" t="s">
        <v>6</v>
      </c>
      <c r="B174" s="39">
        <v>478</v>
      </c>
      <c r="C174" s="82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BG174" s="5">
        <v>0.27800000000000002</v>
      </c>
      <c r="BM174" s="5">
        <v>0.29699999999999999</v>
      </c>
      <c r="BP174"/>
      <c r="BR174"/>
      <c r="BS174"/>
      <c r="CH174" s="44"/>
    </row>
    <row r="175" spans="1:86" x14ac:dyDescent="0.2">
      <c r="A175" s="3" t="s">
        <v>6</v>
      </c>
      <c r="B175" s="39">
        <v>478</v>
      </c>
      <c r="C175" s="82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BB175" s="5">
        <v>0.112</v>
      </c>
      <c r="BH175" s="5">
        <v>4.4999999999999998E-2</v>
      </c>
      <c r="BP175"/>
      <c r="BR175"/>
      <c r="BS175"/>
      <c r="CH175" s="44"/>
    </row>
    <row r="176" spans="1:86" x14ac:dyDescent="0.2">
      <c r="A176" s="3" t="s">
        <v>6</v>
      </c>
      <c r="B176" s="39">
        <v>478</v>
      </c>
      <c r="C176" s="82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BB176" s="5">
        <v>0.17499999999999999</v>
      </c>
      <c r="BH176" s="5">
        <v>0.112</v>
      </c>
      <c r="BP176"/>
      <c r="BR176"/>
      <c r="BS176"/>
      <c r="CH176" s="44"/>
    </row>
    <row r="177" spans="1:86" x14ac:dyDescent="0.2">
      <c r="A177" s="3" t="s">
        <v>6</v>
      </c>
      <c r="B177" s="39">
        <v>478</v>
      </c>
      <c r="C177" s="82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BF177" s="5">
        <v>0.105</v>
      </c>
      <c r="BK177" s="5">
        <v>5.1999999999999998E-2</v>
      </c>
      <c r="BP177"/>
      <c r="BR177"/>
      <c r="BS177"/>
      <c r="CH177" s="44"/>
    </row>
    <row r="178" spans="1:86" x14ac:dyDescent="0.2">
      <c r="A178" s="3" t="s">
        <v>6</v>
      </c>
      <c r="B178" s="39">
        <v>478</v>
      </c>
      <c r="C178" s="82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BF178" s="5">
        <v>0.14299999999999999</v>
      </c>
      <c r="BK178" s="5">
        <v>0.105</v>
      </c>
      <c r="BP178"/>
      <c r="BR178"/>
      <c r="BS178"/>
      <c r="CH178" s="44"/>
    </row>
    <row r="179" spans="1:86" x14ac:dyDescent="0.2">
      <c r="A179" s="3" t="s">
        <v>6</v>
      </c>
      <c r="B179" s="39">
        <v>478</v>
      </c>
      <c r="C179" s="82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BF179" s="5">
        <v>0.14299999999999999</v>
      </c>
      <c r="BK179" s="5">
        <v>0.13600000000000001</v>
      </c>
      <c r="BP179"/>
      <c r="BR179"/>
      <c r="BS179"/>
      <c r="CH179" s="44"/>
    </row>
    <row r="180" spans="1:86" x14ac:dyDescent="0.2">
      <c r="A180" s="3" t="s">
        <v>6</v>
      </c>
      <c r="B180" s="39">
        <v>478</v>
      </c>
      <c r="C180" s="82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BF180" s="5">
        <v>0.14599999999999999</v>
      </c>
      <c r="BK180" s="5">
        <v>0.16900000000000001</v>
      </c>
      <c r="BP180"/>
      <c r="BR180"/>
      <c r="BS180"/>
      <c r="CH180" s="44"/>
    </row>
    <row r="181" spans="1:86" x14ac:dyDescent="0.2">
      <c r="A181" s="3" t="s">
        <v>6</v>
      </c>
      <c r="B181" s="39">
        <v>478</v>
      </c>
      <c r="C181" s="82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BF181" s="5">
        <v>8.2000000000000003E-2</v>
      </c>
      <c r="BK181" s="5">
        <v>0.109</v>
      </c>
      <c r="BP181"/>
      <c r="BR181"/>
      <c r="BS181"/>
      <c r="CH181" s="44"/>
    </row>
    <row r="182" spans="1:86" x14ac:dyDescent="0.2">
      <c r="A182" s="3" t="s">
        <v>6</v>
      </c>
      <c r="B182" s="39">
        <v>478</v>
      </c>
      <c r="C182" s="82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BF182" s="5">
        <v>0.123</v>
      </c>
      <c r="BK182" s="5">
        <v>0.17399999999999999</v>
      </c>
      <c r="BP182"/>
      <c r="BR182"/>
      <c r="BS182"/>
      <c r="CH182" s="44"/>
    </row>
    <row r="183" spans="1:86" x14ac:dyDescent="0.2">
      <c r="A183" s="3" t="s">
        <v>6</v>
      </c>
      <c r="B183" s="39">
        <v>478</v>
      </c>
      <c r="C183" s="82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BD183" s="5">
        <v>8.5999999999999993E-2</v>
      </c>
      <c r="BJ183" s="5">
        <v>0.13</v>
      </c>
      <c r="BP183"/>
      <c r="BR183"/>
      <c r="BS183"/>
      <c r="CH183" s="44"/>
    </row>
    <row r="184" spans="1:86" x14ac:dyDescent="0.2">
      <c r="A184" s="3" t="s">
        <v>6</v>
      </c>
      <c r="B184" s="39">
        <v>478</v>
      </c>
      <c r="C184" s="82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BD184" s="5">
        <v>8.5999999999999993E-2</v>
      </c>
      <c r="BJ184" s="5">
        <v>0.11799999999999999</v>
      </c>
      <c r="BP184"/>
      <c r="BR184"/>
      <c r="BS184"/>
      <c r="CH184" s="44"/>
    </row>
    <row r="185" spans="1:86" x14ac:dyDescent="0.2">
      <c r="A185" s="3" t="s">
        <v>6</v>
      </c>
      <c r="B185" s="39">
        <v>478</v>
      </c>
      <c r="C185" s="82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BD185" s="5">
        <v>9.6000000000000002E-2</v>
      </c>
      <c r="BJ185" s="5">
        <v>0.10199999999999999</v>
      </c>
      <c r="BP185"/>
      <c r="BR185"/>
      <c r="BS185"/>
      <c r="CH185" s="44"/>
    </row>
    <row r="186" spans="1:86" x14ac:dyDescent="0.2">
      <c r="A186" s="3" t="s">
        <v>6</v>
      </c>
      <c r="B186" s="39">
        <v>478</v>
      </c>
      <c r="C186" s="82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BH186" s="5">
        <v>0.10100000000000001</v>
      </c>
      <c r="BN186" s="5">
        <v>0.13800000000000001</v>
      </c>
      <c r="BP186"/>
      <c r="BR186"/>
      <c r="BS186"/>
      <c r="CH186" s="44"/>
    </row>
    <row r="187" spans="1:86" x14ac:dyDescent="0.2">
      <c r="A187" s="3" t="s">
        <v>6</v>
      </c>
      <c r="B187" s="39">
        <v>478</v>
      </c>
      <c r="C187" s="82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BH187" s="5">
        <v>9.9000000000000005E-2</v>
      </c>
      <c r="BN187" s="5">
        <v>0.13600000000000001</v>
      </c>
      <c r="BP187"/>
      <c r="BR187"/>
      <c r="BS187"/>
      <c r="CH187" s="44"/>
    </row>
    <row r="188" spans="1:86" x14ac:dyDescent="0.2">
      <c r="A188" s="3" t="s">
        <v>6</v>
      </c>
      <c r="B188" s="39">
        <v>478</v>
      </c>
      <c r="C188" s="82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BH188" s="5">
        <v>9.6000000000000002E-2</v>
      </c>
      <c r="BN188" s="5">
        <v>0.13400000000000001</v>
      </c>
      <c r="BP188"/>
      <c r="BR188"/>
      <c r="BS188"/>
      <c r="CH188" s="44"/>
    </row>
    <row r="189" spans="1:86" x14ac:dyDescent="0.2">
      <c r="A189" s="3" t="s">
        <v>6</v>
      </c>
      <c r="B189" s="39">
        <v>478</v>
      </c>
      <c r="C189" s="82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BF189" s="5">
        <v>6.3E-2</v>
      </c>
      <c r="BM189" s="5">
        <v>0.121</v>
      </c>
      <c r="BP189"/>
      <c r="BR189"/>
      <c r="BS189"/>
      <c r="CH189" s="44"/>
    </row>
    <row r="190" spans="1:86" x14ac:dyDescent="0.2">
      <c r="A190" s="3" t="s">
        <v>6</v>
      </c>
      <c r="B190" s="39">
        <v>478</v>
      </c>
      <c r="C190" s="82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BF190" s="5">
        <v>0.25800000000000001</v>
      </c>
      <c r="BM190" s="5">
        <v>0.30399999999999999</v>
      </c>
      <c r="BP190"/>
      <c r="BR190"/>
      <c r="BS190"/>
      <c r="CH190" s="44"/>
    </row>
    <row r="191" spans="1:86" x14ac:dyDescent="0.2">
      <c r="A191" s="3" t="s">
        <v>6</v>
      </c>
      <c r="B191" s="39">
        <v>478</v>
      </c>
      <c r="C191" s="82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BF191" s="5">
        <v>7.0000000000000007E-2</v>
      </c>
      <c r="BM191" s="5">
        <v>6.7000000000000004E-2</v>
      </c>
      <c r="BP191"/>
      <c r="BR191"/>
      <c r="BS191"/>
      <c r="CH191" s="44"/>
    </row>
    <row r="192" spans="1:86" x14ac:dyDescent="0.2">
      <c r="A192" s="3" t="s">
        <v>6</v>
      </c>
      <c r="B192" s="39">
        <v>478</v>
      </c>
      <c r="C192" s="82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BF192" s="5">
        <v>8.3000000000000004E-2</v>
      </c>
      <c r="BM192" s="5">
        <v>0.14499999999999999</v>
      </c>
      <c r="BP192"/>
      <c r="BR192"/>
      <c r="BS192"/>
      <c r="CH192" s="44"/>
    </row>
    <row r="193" spans="1:86" x14ac:dyDescent="0.2">
      <c r="A193" s="3" t="s">
        <v>6</v>
      </c>
      <c r="B193" s="39">
        <v>478</v>
      </c>
      <c r="C193" s="82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BF193" s="5">
        <v>0.10100000000000001</v>
      </c>
      <c r="BM193" s="5">
        <v>0.112</v>
      </c>
      <c r="BP193"/>
      <c r="BR193"/>
      <c r="BS193"/>
      <c r="CH193" s="44"/>
    </row>
    <row r="194" spans="1:86" x14ac:dyDescent="0.2">
      <c r="A194" s="3" t="s">
        <v>6</v>
      </c>
      <c r="B194" s="39">
        <v>478</v>
      </c>
      <c r="C194" s="82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BB194" s="5">
        <v>4.4999999999999998E-2</v>
      </c>
      <c r="BN194" s="5">
        <v>9.5000000000000001E-2</v>
      </c>
      <c r="BP194"/>
      <c r="BR194"/>
      <c r="BS194"/>
      <c r="CH194" s="44"/>
    </row>
    <row r="195" spans="1:86" x14ac:dyDescent="0.2">
      <c r="A195" s="3" t="s">
        <v>6</v>
      </c>
      <c r="B195" s="39">
        <v>478</v>
      </c>
      <c r="C195" s="82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BF195" s="5">
        <v>4.3999999999999997E-2</v>
      </c>
      <c r="BM195" s="5">
        <v>0.112</v>
      </c>
      <c r="BP195"/>
      <c r="BR195"/>
      <c r="BS195"/>
      <c r="CH195" s="44"/>
    </row>
    <row r="196" spans="1:86" x14ac:dyDescent="0.2">
      <c r="A196" s="3" t="s">
        <v>6</v>
      </c>
      <c r="B196" s="39">
        <v>478</v>
      </c>
      <c r="C196" s="82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BF196" s="5">
        <v>0.14299999999999999</v>
      </c>
      <c r="BM196" s="5">
        <v>0.17</v>
      </c>
      <c r="BP196"/>
      <c r="BR196"/>
      <c r="BS196"/>
      <c r="CH196" s="44"/>
    </row>
    <row r="197" spans="1:86" x14ac:dyDescent="0.2">
      <c r="A197" s="3" t="s">
        <v>6</v>
      </c>
      <c r="B197" s="39">
        <v>478</v>
      </c>
      <c r="C197" s="82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BF197" s="5">
        <v>0.11</v>
      </c>
      <c r="BM197" s="5">
        <v>0.128</v>
      </c>
      <c r="BP197"/>
      <c r="BR197"/>
      <c r="BS197"/>
      <c r="CH197" s="44"/>
    </row>
    <row r="198" spans="1:86" x14ac:dyDescent="0.2">
      <c r="A198" s="3" t="s">
        <v>6</v>
      </c>
      <c r="B198" s="39">
        <v>478</v>
      </c>
      <c r="C198" s="82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BE198" s="5">
        <v>0.186</v>
      </c>
      <c r="BM198" s="5">
        <v>0.21</v>
      </c>
      <c r="BP198"/>
      <c r="BR198"/>
      <c r="BS198"/>
      <c r="CH198" s="44"/>
    </row>
    <row r="199" spans="1:86" x14ac:dyDescent="0.2">
      <c r="A199" s="3" t="s">
        <v>6</v>
      </c>
      <c r="B199" s="39">
        <v>478</v>
      </c>
      <c r="C199" s="82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BE199" s="5">
        <v>0.128</v>
      </c>
      <c r="BM199" s="5">
        <v>0.13300000000000001</v>
      </c>
      <c r="BP199"/>
      <c r="BR199"/>
      <c r="BS199"/>
      <c r="CH199" s="44"/>
    </row>
    <row r="200" spans="1:86" x14ac:dyDescent="0.2">
      <c r="A200" s="3" t="s">
        <v>6</v>
      </c>
      <c r="B200" s="39">
        <v>478</v>
      </c>
      <c r="C200" s="82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BE200" s="5">
        <v>0.16900000000000001</v>
      </c>
      <c r="BM200" s="5">
        <v>0.22</v>
      </c>
      <c r="BP200"/>
      <c r="BR200"/>
      <c r="BS200"/>
      <c r="CH200" s="44"/>
    </row>
    <row r="201" spans="1:86" x14ac:dyDescent="0.2">
      <c r="A201" s="3" t="s">
        <v>6</v>
      </c>
      <c r="B201" s="39">
        <v>478</v>
      </c>
      <c r="C201" s="82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BE201" s="5">
        <v>0.152</v>
      </c>
      <c r="BM201" s="5">
        <v>0.193</v>
      </c>
      <c r="BP201"/>
      <c r="BR201"/>
      <c r="BS201"/>
      <c r="CH201" s="44"/>
    </row>
    <row r="202" spans="1:86" x14ac:dyDescent="0.2">
      <c r="A202" s="3" t="s">
        <v>6</v>
      </c>
      <c r="B202" s="39">
        <v>478</v>
      </c>
      <c r="C202" s="82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BG202" s="5">
        <v>0.17799999999999999</v>
      </c>
      <c r="BM202" s="5">
        <v>0.21</v>
      </c>
      <c r="BP202"/>
      <c r="BR202"/>
      <c r="BS202"/>
      <c r="CH202" s="44"/>
    </row>
    <row r="203" spans="1:86" x14ac:dyDescent="0.2">
      <c r="A203" s="3" t="s">
        <v>6</v>
      </c>
      <c r="B203" s="39">
        <v>478</v>
      </c>
      <c r="C203" s="82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BG203" s="5">
        <v>0.187</v>
      </c>
      <c r="BM203" s="5">
        <v>0.22500000000000001</v>
      </c>
      <c r="BP203"/>
      <c r="BR203"/>
      <c r="BS203"/>
      <c r="CH203" s="44"/>
    </row>
    <row r="204" spans="1:86" x14ac:dyDescent="0.2">
      <c r="A204" s="3" t="s">
        <v>6</v>
      </c>
      <c r="B204" s="39">
        <v>478</v>
      </c>
      <c r="C204" s="82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BG204" s="5">
        <v>0.13900000000000001</v>
      </c>
      <c r="BM204" s="5">
        <v>0.153</v>
      </c>
      <c r="BP204"/>
      <c r="BR204"/>
      <c r="BS204"/>
      <c r="CH204" s="44"/>
    </row>
    <row r="205" spans="1:86" x14ac:dyDescent="0.2">
      <c r="A205" s="3" t="s">
        <v>6</v>
      </c>
      <c r="B205" s="39">
        <v>478</v>
      </c>
      <c r="C205" s="82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BG205" s="5">
        <v>0.22800000000000001</v>
      </c>
      <c r="BM205" s="5">
        <v>0.17499999999999999</v>
      </c>
      <c r="BP205"/>
      <c r="BR205"/>
      <c r="BS205"/>
      <c r="CH205" s="44"/>
    </row>
    <row r="206" spans="1:86" x14ac:dyDescent="0.2">
      <c r="A206" s="3" t="s">
        <v>6</v>
      </c>
      <c r="B206" s="39">
        <v>478</v>
      </c>
      <c r="C206" s="82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BG206" s="5">
        <v>0.27200000000000002</v>
      </c>
      <c r="BP206"/>
      <c r="BQ206" s="5">
        <v>0.25800000000000001</v>
      </c>
      <c r="BR206"/>
      <c r="BS206"/>
      <c r="CH206" s="44"/>
    </row>
    <row r="207" spans="1:86" x14ac:dyDescent="0.2">
      <c r="A207" s="3" t="s">
        <v>6</v>
      </c>
      <c r="B207" s="39">
        <v>478</v>
      </c>
      <c r="C207" s="82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BG207" s="5">
        <v>0.29299999999999998</v>
      </c>
      <c r="BP207"/>
      <c r="BQ207" s="5">
        <v>0.26500000000000001</v>
      </c>
      <c r="BR207"/>
      <c r="BS207"/>
      <c r="CH207" s="44"/>
    </row>
    <row r="208" spans="1:86" x14ac:dyDescent="0.2">
      <c r="A208" s="3" t="s">
        <v>6</v>
      </c>
      <c r="B208" s="39">
        <v>478</v>
      </c>
      <c r="C208" s="82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BF208" s="5">
        <v>2.5999999999999999E-2</v>
      </c>
      <c r="BM208" s="5">
        <v>3.9E-2</v>
      </c>
      <c r="BP208"/>
      <c r="BR208"/>
      <c r="BS208"/>
      <c r="CH208" s="44"/>
    </row>
    <row r="209" spans="1:86" x14ac:dyDescent="0.2">
      <c r="A209" s="3" t="s">
        <v>6</v>
      </c>
      <c r="B209" s="39">
        <v>478</v>
      </c>
      <c r="C209" s="82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BA209" s="5">
        <v>0.28999999999999998</v>
      </c>
      <c r="BI209" s="5">
        <v>0.44</v>
      </c>
      <c r="BP209"/>
      <c r="BR209"/>
      <c r="BS209"/>
      <c r="CH209" s="44"/>
    </row>
    <row r="210" spans="1:86" x14ac:dyDescent="0.2">
      <c r="A210" s="3" t="s">
        <v>6</v>
      </c>
      <c r="B210" s="39">
        <v>478</v>
      </c>
      <c r="C210" s="82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BG210" s="5">
        <v>0.27800000000000002</v>
      </c>
      <c r="BM210" s="5">
        <v>0.37</v>
      </c>
      <c r="BP210"/>
      <c r="BR210"/>
      <c r="BS210"/>
      <c r="CH210" s="44"/>
    </row>
    <row r="211" spans="1:86" x14ac:dyDescent="0.2">
      <c r="A211" s="3" t="s">
        <v>6</v>
      </c>
      <c r="B211" s="39">
        <v>478</v>
      </c>
      <c r="C211" s="82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BG211" s="5">
        <v>0.27</v>
      </c>
      <c r="BM211" s="5">
        <v>0.35499999999999998</v>
      </c>
      <c r="BP211"/>
      <c r="BR211"/>
      <c r="BS211"/>
      <c r="CH211" s="44"/>
    </row>
    <row r="212" spans="1:86" x14ac:dyDescent="0.2">
      <c r="A212" s="3" t="s">
        <v>6</v>
      </c>
      <c r="B212" s="39">
        <v>478</v>
      </c>
      <c r="C212" s="82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BG212" s="5">
        <v>0.13900000000000001</v>
      </c>
      <c r="BM212" s="5">
        <v>0.27200000000000002</v>
      </c>
      <c r="BP212"/>
      <c r="BR212"/>
      <c r="BS212"/>
      <c r="CH212" s="44"/>
    </row>
    <row r="213" spans="1:86" x14ac:dyDescent="0.2">
      <c r="A213" s="3" t="s">
        <v>6</v>
      </c>
      <c r="B213" s="39">
        <v>478</v>
      </c>
      <c r="C213" s="82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BG213" s="5">
        <v>0.22800000000000001</v>
      </c>
      <c r="BM213" s="5">
        <v>0.307</v>
      </c>
      <c r="BP213"/>
      <c r="BR213"/>
      <c r="BS213"/>
      <c r="CH213" s="44"/>
    </row>
    <row r="214" spans="1:86" x14ac:dyDescent="0.2">
      <c r="A214" s="3" t="s">
        <v>6</v>
      </c>
      <c r="B214" s="39">
        <v>478</v>
      </c>
      <c r="C214" s="82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BB214" s="5">
        <v>0.18099999999999999</v>
      </c>
      <c r="BJ214" s="5">
        <v>0.311</v>
      </c>
      <c r="BP214"/>
      <c r="BR214"/>
      <c r="BS214"/>
      <c r="CH214" s="44"/>
    </row>
    <row r="215" spans="1:86" x14ac:dyDescent="0.2">
      <c r="A215" s="3" t="s">
        <v>6</v>
      </c>
      <c r="B215" s="39">
        <v>478</v>
      </c>
      <c r="C215" s="82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BF215" s="5">
        <v>0.21099999999999999</v>
      </c>
      <c r="BM215" s="5">
        <v>0.24299999999999999</v>
      </c>
      <c r="BP215"/>
      <c r="BR215"/>
      <c r="BS215"/>
      <c r="CH215" s="44"/>
    </row>
    <row r="216" spans="1:86" x14ac:dyDescent="0.2">
      <c r="A216" s="3" t="s">
        <v>6</v>
      </c>
      <c r="B216" s="39">
        <v>478</v>
      </c>
      <c r="C216" s="82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BL216" s="5">
        <v>7.8E-2</v>
      </c>
      <c r="BP216" s="5">
        <v>0.115</v>
      </c>
      <c r="BR216"/>
      <c r="BS216"/>
      <c r="CH216" s="44"/>
    </row>
    <row r="217" spans="1:86" x14ac:dyDescent="0.2">
      <c r="A217" s="3" t="s">
        <v>6</v>
      </c>
      <c r="B217" s="39">
        <v>478</v>
      </c>
      <c r="C217" s="82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BJ217" s="5">
        <v>0.24</v>
      </c>
      <c r="BO217" s="5">
        <v>0.34599999999999997</v>
      </c>
      <c r="BP217"/>
      <c r="BR217"/>
      <c r="BS217"/>
      <c r="CH217" s="44"/>
    </row>
    <row r="218" spans="1:86" x14ac:dyDescent="0.2">
      <c r="A218" s="3" t="s">
        <v>6</v>
      </c>
      <c r="B218" s="39">
        <v>478</v>
      </c>
      <c r="C218" s="82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BE218" s="5">
        <v>0.17899999999999999</v>
      </c>
      <c r="BO218" s="5">
        <v>0.23599999999999999</v>
      </c>
      <c r="BP218"/>
      <c r="BR218"/>
      <c r="BS218"/>
      <c r="CH218" s="44"/>
    </row>
    <row r="219" spans="1:86" x14ac:dyDescent="0.2">
      <c r="A219" s="3" t="s">
        <v>6</v>
      </c>
      <c r="B219" s="39">
        <v>478</v>
      </c>
      <c r="C219" s="82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BE219" s="5">
        <v>0.17499999999999999</v>
      </c>
      <c r="BO219" s="5">
        <v>0.28899999999999998</v>
      </c>
      <c r="BP219"/>
      <c r="BR219"/>
      <c r="BS219"/>
      <c r="CH219" s="44"/>
    </row>
    <row r="220" spans="1:86" x14ac:dyDescent="0.2">
      <c r="A220" s="3" t="s">
        <v>6</v>
      </c>
      <c r="B220" s="39">
        <v>478</v>
      </c>
      <c r="C220" s="82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BJ220" s="5">
        <v>0.21099999999999999</v>
      </c>
      <c r="BO220" s="5">
        <v>0.34200000000000003</v>
      </c>
      <c r="BP220"/>
      <c r="BR220"/>
      <c r="BS220"/>
      <c r="CH220" s="44"/>
    </row>
    <row r="221" spans="1:86" x14ac:dyDescent="0.2">
      <c r="A221" s="3" t="s">
        <v>6</v>
      </c>
      <c r="B221" s="39">
        <v>478</v>
      </c>
      <c r="C221" s="82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BE221" s="5">
        <v>0.18</v>
      </c>
      <c r="BJ221" s="5">
        <v>0.21</v>
      </c>
      <c r="BP221"/>
      <c r="BR221"/>
      <c r="BS221"/>
      <c r="CH221" s="44"/>
    </row>
    <row r="222" spans="1:86" x14ac:dyDescent="0.2">
      <c r="A222" s="3" t="s">
        <v>6</v>
      </c>
      <c r="B222" s="39">
        <v>478</v>
      </c>
      <c r="C222" s="82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BE222" s="5">
        <v>0.18</v>
      </c>
      <c r="BJ222" s="5">
        <v>0.21</v>
      </c>
      <c r="BP222"/>
      <c r="BR222"/>
      <c r="BS222"/>
      <c r="CH222" s="44"/>
    </row>
    <row r="223" spans="1:86" x14ac:dyDescent="0.2">
      <c r="A223" s="3" t="s">
        <v>6</v>
      </c>
      <c r="B223" s="39">
        <v>478</v>
      </c>
      <c r="C223" s="82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BF223" s="5">
        <v>1.4E-2</v>
      </c>
      <c r="BM223" s="5">
        <v>3.5000000000000003E-2</v>
      </c>
      <c r="BP223"/>
      <c r="BR223"/>
      <c r="BS223"/>
      <c r="CH223" s="44"/>
    </row>
    <row r="224" spans="1:86" x14ac:dyDescent="0.2">
      <c r="A224" s="3" t="s">
        <v>6</v>
      </c>
      <c r="B224" s="39">
        <v>478</v>
      </c>
      <c r="C224" s="82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BF224" s="5">
        <v>0.21099999999999999</v>
      </c>
      <c r="BK224" s="5">
        <v>0.20799999999999999</v>
      </c>
      <c r="BP224"/>
      <c r="BR224"/>
      <c r="BS224"/>
      <c r="CH224" s="44"/>
    </row>
    <row r="225" spans="1:86" x14ac:dyDescent="0.2">
      <c r="A225" s="3" t="s">
        <v>6</v>
      </c>
      <c r="B225" s="39">
        <v>478</v>
      </c>
      <c r="C225" s="82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BG225" s="5">
        <v>0.13400000000000001</v>
      </c>
      <c r="BP225"/>
      <c r="BQ225" s="5">
        <v>0.152</v>
      </c>
      <c r="BR225"/>
      <c r="BS225"/>
      <c r="CH225" s="44"/>
    </row>
    <row r="226" spans="1:86" x14ac:dyDescent="0.2">
      <c r="A226" s="3" t="s">
        <v>6</v>
      </c>
      <c r="B226" s="39">
        <v>478</v>
      </c>
      <c r="C226" s="82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BM226" s="5">
        <v>0.17</v>
      </c>
      <c r="BP226" s="5">
        <v>0.17100000000000001</v>
      </c>
      <c r="BR226"/>
      <c r="BS226"/>
      <c r="CH226" s="44"/>
    </row>
    <row r="227" spans="1:86" x14ac:dyDescent="0.2">
      <c r="A227" s="3" t="s">
        <v>6</v>
      </c>
      <c r="B227" s="39">
        <v>478</v>
      </c>
      <c r="C227" s="82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BM227" s="5">
        <v>0.151</v>
      </c>
      <c r="BP227" s="5">
        <v>0.161</v>
      </c>
      <c r="BR227"/>
      <c r="BS227"/>
      <c r="CH227" s="44"/>
    </row>
    <row r="228" spans="1:86" x14ac:dyDescent="0.2">
      <c r="A228" s="3" t="s">
        <v>6</v>
      </c>
      <c r="B228" s="39">
        <v>478</v>
      </c>
      <c r="C228" s="82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BD228" s="5">
        <v>2.3E-2</v>
      </c>
      <c r="BK228" s="5">
        <v>8.1000000000000003E-2</v>
      </c>
      <c r="BP228"/>
      <c r="BR228"/>
      <c r="BS228"/>
      <c r="CH228" s="44"/>
    </row>
    <row r="229" spans="1:86" x14ac:dyDescent="0.2">
      <c r="A229" s="3" t="s">
        <v>6</v>
      </c>
      <c r="B229" s="39">
        <v>478</v>
      </c>
      <c r="C229" s="82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BD229" s="5">
        <v>0.22600000000000001</v>
      </c>
      <c r="BK229" s="5">
        <v>0.32300000000000001</v>
      </c>
      <c r="BP229"/>
      <c r="BR229"/>
      <c r="BS229"/>
      <c r="CH229" s="44"/>
    </row>
    <row r="230" spans="1:86" x14ac:dyDescent="0.2">
      <c r="A230" s="3" t="s">
        <v>6</v>
      </c>
      <c r="B230" s="39">
        <v>478</v>
      </c>
      <c r="C230" s="82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BK230" s="9">
        <v>0.31</v>
      </c>
      <c r="BP230" s="9">
        <v>0.37</v>
      </c>
      <c r="BR230"/>
      <c r="BS230"/>
      <c r="CH230" s="44"/>
    </row>
    <row r="231" spans="1:86" x14ac:dyDescent="0.2">
      <c r="A231" s="3" t="s">
        <v>6</v>
      </c>
      <c r="B231" s="39">
        <v>478</v>
      </c>
      <c r="C231" s="82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BC231" s="9">
        <v>0.24399999999999999</v>
      </c>
      <c r="BM231" s="9">
        <v>0.248</v>
      </c>
      <c r="BP231"/>
      <c r="BR231"/>
      <c r="BS231"/>
      <c r="CD231" s="10"/>
      <c r="CE231" s="10"/>
      <c r="CF231" s="10"/>
      <c r="CG231" s="10"/>
      <c r="CH231" s="54"/>
    </row>
    <row r="232" spans="1:86" x14ac:dyDescent="0.2">
      <c r="A232" s="3" t="s">
        <v>6</v>
      </c>
      <c r="B232" s="39">
        <v>479</v>
      </c>
      <c r="C232" s="82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9">
        <v>6.5000000000000002E-2</v>
      </c>
      <c r="BU232" s="9">
        <v>6.4000000000000001E-2</v>
      </c>
      <c r="BV232" s="9">
        <v>6.3E-2</v>
      </c>
      <c r="BW232" s="9">
        <v>5.3999999999999999E-2</v>
      </c>
      <c r="BX232" s="9">
        <v>6.0999999999999999E-2</v>
      </c>
      <c r="BY232" s="9">
        <v>5.8000000000000003E-2</v>
      </c>
      <c r="BZ232" s="10"/>
      <c r="CA232" s="10"/>
      <c r="CB232" s="10"/>
      <c r="CC232" s="10"/>
      <c r="CD232" s="10"/>
      <c r="CE232" s="10"/>
      <c r="CF232" s="10"/>
      <c r="CG232" s="10"/>
      <c r="CH232" s="54"/>
    </row>
    <row r="233" spans="1:86" x14ac:dyDescent="0.2">
      <c r="A233" s="3" t="s">
        <v>6</v>
      </c>
      <c r="B233" s="39">
        <v>480</v>
      </c>
      <c r="C233" s="82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9">
        <v>6.3E-2</v>
      </c>
      <c r="BL233" s="9">
        <v>7.0900000000000005E-2</v>
      </c>
      <c r="BM233" s="9">
        <v>9.4100000000000003E-2</v>
      </c>
      <c r="BN233" s="9">
        <v>0.1055</v>
      </c>
      <c r="BO233" s="9">
        <v>0.12720000000000001</v>
      </c>
      <c r="BP233" s="9">
        <v>0.1221</v>
      </c>
      <c r="BQ233" s="9">
        <v>0.13639999999999999</v>
      </c>
      <c r="BR233" s="9">
        <v>0.14080000000000001</v>
      </c>
      <c r="BS233" s="9">
        <v>0.15090000000000001</v>
      </c>
      <c r="BT233" s="9">
        <v>0.161</v>
      </c>
      <c r="BU233" s="10"/>
      <c r="BV233" s="10"/>
      <c r="BW233" s="10"/>
      <c r="BX233" s="10"/>
      <c r="BY233" s="10"/>
      <c r="BZ233" s="10"/>
      <c r="CA233" s="10"/>
      <c r="CB233" s="10"/>
      <c r="CC233" s="10"/>
      <c r="CH233" s="44"/>
    </row>
    <row r="234" spans="1:86" x14ac:dyDescent="0.2">
      <c r="A234" s="3" t="s">
        <v>6</v>
      </c>
      <c r="B234" s="39">
        <v>480</v>
      </c>
      <c r="C234" s="82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BK234" s="9">
        <v>8.0999999999999996E-3</v>
      </c>
      <c r="BL234" s="9">
        <v>9.7999999999999997E-3</v>
      </c>
      <c r="BM234" s="9">
        <v>1.29E-2</v>
      </c>
      <c r="BN234" s="9">
        <v>1.54E-2</v>
      </c>
      <c r="BO234" s="9">
        <v>2.3300000000000001E-2</v>
      </c>
      <c r="BP234" s="9">
        <v>2.0799999999999999E-2</v>
      </c>
      <c r="BQ234" s="9">
        <v>2.24E-2</v>
      </c>
      <c r="BR234" s="9">
        <v>2.4E-2</v>
      </c>
      <c r="BS234" s="9">
        <v>2.76E-2</v>
      </c>
      <c r="BT234" s="9">
        <v>2.8199999999999999E-2</v>
      </c>
      <c r="CH234" s="44"/>
    </row>
    <row r="235" spans="1:86" x14ac:dyDescent="0.2">
      <c r="A235" s="3" t="s">
        <v>6</v>
      </c>
      <c r="B235" s="39">
        <v>462</v>
      </c>
      <c r="C235" s="82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BP235"/>
      <c r="BR235"/>
      <c r="BS235"/>
      <c r="BT235" s="9">
        <v>0.14099999999999999</v>
      </c>
      <c r="BW235" s="9">
        <v>9.1999999999999998E-2</v>
      </c>
      <c r="BZ235" s="9">
        <v>9.2999999999999999E-2</v>
      </c>
      <c r="CB235" s="9">
        <v>5.8999999999999997E-2</v>
      </c>
      <c r="CH235" s="44"/>
    </row>
    <row r="236" spans="1:86" x14ac:dyDescent="0.2">
      <c r="A236" s="3" t="s">
        <v>6</v>
      </c>
      <c r="B236" s="39">
        <v>462</v>
      </c>
      <c r="C236" s="82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BP236"/>
      <c r="BR236"/>
      <c r="BS236"/>
      <c r="BT236" s="9">
        <v>0.19700000000000001</v>
      </c>
      <c r="BW236" s="9">
        <v>0.157</v>
      </c>
      <c r="BZ236" s="9">
        <v>0.16700000000000001</v>
      </c>
      <c r="CB236" s="9">
        <v>0.113</v>
      </c>
      <c r="CH236" s="44"/>
    </row>
    <row r="237" spans="1:86" x14ac:dyDescent="0.2">
      <c r="A237" s="3" t="s">
        <v>6</v>
      </c>
      <c r="B237" s="39">
        <v>462</v>
      </c>
      <c r="C237" s="82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BP237"/>
      <c r="BR237"/>
      <c r="BS237"/>
      <c r="BT237" s="9">
        <v>0.124</v>
      </c>
      <c r="BW237" s="9">
        <v>0.13</v>
      </c>
      <c r="BZ237" s="9">
        <v>0.155</v>
      </c>
      <c r="CB237" s="9">
        <v>0.14599999999999999</v>
      </c>
      <c r="CH237" s="44"/>
    </row>
    <row r="238" spans="1:86" x14ac:dyDescent="0.2">
      <c r="A238" s="3" t="s">
        <v>6</v>
      </c>
      <c r="B238" s="39">
        <v>462</v>
      </c>
      <c r="C238" s="82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BP238"/>
      <c r="BR238"/>
      <c r="BS238"/>
      <c r="BT238" s="9">
        <v>3.3000000000000002E-2</v>
      </c>
      <c r="BW238" s="9">
        <v>3.5000000000000003E-2</v>
      </c>
      <c r="BZ238" s="9">
        <v>3.5000000000000003E-2</v>
      </c>
      <c r="CB238" s="9">
        <v>3.9E-2</v>
      </c>
      <c r="CH238" s="44"/>
    </row>
    <row r="239" spans="1:86" x14ac:dyDescent="0.2">
      <c r="A239" s="3" t="s">
        <v>6</v>
      </c>
      <c r="B239" s="39">
        <v>462</v>
      </c>
      <c r="C239" s="82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BP239"/>
      <c r="BR239"/>
      <c r="BS239"/>
      <c r="BT239" s="9">
        <v>1.0999999999999999E-2</v>
      </c>
      <c r="BW239" s="9">
        <v>0.01</v>
      </c>
      <c r="BZ239" s="9">
        <v>1.0999999999999999E-2</v>
      </c>
      <c r="CB239" s="9">
        <v>1.6E-2</v>
      </c>
      <c r="CH239" s="44"/>
    </row>
    <row r="240" spans="1:86" x14ac:dyDescent="0.2">
      <c r="A240" s="3" t="s">
        <v>6</v>
      </c>
      <c r="B240" s="39">
        <v>481</v>
      </c>
      <c r="C240" s="82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BP240"/>
      <c r="BQ240" s="9">
        <v>3.2000000000000001E-2</v>
      </c>
      <c r="BR240" s="9">
        <v>3.3000000000000002E-2</v>
      </c>
      <c r="BS240" s="9">
        <v>3.2000000000000001E-2</v>
      </c>
      <c r="BT240" s="9">
        <v>3.1E-2</v>
      </c>
      <c r="BU240" s="9">
        <v>3.1E-2</v>
      </c>
      <c r="BV240" s="9">
        <v>0.03</v>
      </c>
      <c r="BW240" s="9">
        <v>0.03</v>
      </c>
      <c r="BX240" s="9">
        <v>2.9000000000000001E-2</v>
      </c>
      <c r="BY240" s="9">
        <v>0.03</v>
      </c>
      <c r="BZ240" s="9">
        <v>3.2000000000000001E-2</v>
      </c>
      <c r="CA240" s="9">
        <v>3.1E-2</v>
      </c>
      <c r="CB240" s="9">
        <v>3.1E-2</v>
      </c>
      <c r="CC240" s="9">
        <v>3.3000000000000002E-2</v>
      </c>
      <c r="CH240" s="44"/>
    </row>
    <row r="241" spans="1:86" x14ac:dyDescent="0.2">
      <c r="A241" s="3" t="s">
        <v>6</v>
      </c>
      <c r="B241" s="39">
        <v>458</v>
      </c>
      <c r="C241" s="82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BF241" s="9">
        <v>5.7000000000000002E-2</v>
      </c>
      <c r="BK241" s="9">
        <v>5.3999999999999999E-2</v>
      </c>
      <c r="BP241"/>
      <c r="BR241"/>
      <c r="BS241"/>
      <c r="CA241" s="9">
        <v>9.6000000000000002E-2</v>
      </c>
      <c r="CH241" s="44"/>
    </row>
    <row r="242" spans="1:86" x14ac:dyDescent="0.2">
      <c r="A242" s="3" t="s">
        <v>6</v>
      </c>
      <c r="B242" s="39">
        <v>482</v>
      </c>
      <c r="C242" s="82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BN242" s="5">
        <v>8.4000000000000005E-2</v>
      </c>
      <c r="BO242" s="5">
        <v>8.5000000000000006E-2</v>
      </c>
      <c r="BP242" s="5">
        <v>8.8000000000000009E-2</v>
      </c>
      <c r="BQ242" s="5">
        <v>9.3000000000000013E-2</v>
      </c>
      <c r="BR242" s="5">
        <v>0.11</v>
      </c>
      <c r="BS242" s="5">
        <v>9.9000000000000005E-2</v>
      </c>
      <c r="BT242" s="5">
        <v>8.5000000000000006E-2</v>
      </c>
      <c r="BU242" s="5">
        <v>8.3000000000000004E-2</v>
      </c>
      <c r="BV242" s="5">
        <v>8.199999999999999E-2</v>
      </c>
      <c r="BW242" s="5">
        <v>7.6999999999999999E-2</v>
      </c>
      <c r="BX242" s="5">
        <v>6.3E-2</v>
      </c>
      <c r="BY242" s="5">
        <v>6.3E-2</v>
      </c>
      <c r="BZ242" s="5">
        <v>5.5E-2</v>
      </c>
      <c r="CA242" s="5">
        <v>4.7E-2</v>
      </c>
      <c r="CB242" s="5">
        <v>0.05</v>
      </c>
      <c r="CC242" s="5">
        <v>5.0999999999999997E-2</v>
      </c>
      <c r="CH242" s="44"/>
    </row>
    <row r="243" spans="1:86" x14ac:dyDescent="0.2">
      <c r="A243" s="3" t="s">
        <v>6</v>
      </c>
      <c r="B243" s="39">
        <v>482</v>
      </c>
      <c r="C243" s="82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BJ243" s="1"/>
      <c r="BK243" s="1"/>
      <c r="BL243" s="1"/>
      <c r="BN243" s="5">
        <v>0.15</v>
      </c>
      <c r="BO243" s="5">
        <v>0.17399999999999999</v>
      </c>
      <c r="BP243" s="5">
        <v>0.17199999999999999</v>
      </c>
      <c r="BQ243" s="5">
        <v>0.16500000000000001</v>
      </c>
      <c r="BR243" s="5">
        <v>0.18600000000000003</v>
      </c>
      <c r="BS243" s="5">
        <v>0.20100000000000001</v>
      </c>
      <c r="BT243" s="5">
        <v>0.16800000000000001</v>
      </c>
      <c r="BU243" s="5">
        <v>0.17300000000000001</v>
      </c>
      <c r="BV243" s="5">
        <v>0.17399999999999999</v>
      </c>
      <c r="BW243" s="5">
        <v>0.16800000000000001</v>
      </c>
      <c r="BX243" s="5">
        <v>0.16</v>
      </c>
      <c r="BY243" s="5">
        <v>0.13500000000000001</v>
      </c>
      <c r="BZ243" s="5">
        <v>0.129</v>
      </c>
      <c r="CA243" s="5">
        <v>0.12300000000000001</v>
      </c>
      <c r="CB243" s="5">
        <v>0.11900000000000001</v>
      </c>
      <c r="CC243" s="5">
        <v>0.11599999999999999</v>
      </c>
      <c r="CH243" s="44"/>
    </row>
    <row r="244" spans="1:86" x14ac:dyDescent="0.2">
      <c r="A244" s="3" t="s">
        <v>6</v>
      </c>
      <c r="B244" s="39">
        <v>482</v>
      </c>
      <c r="C244" s="82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BN244" s="5">
        <v>0.10300000000000001</v>
      </c>
      <c r="BO244" s="5">
        <v>0.11199999999999999</v>
      </c>
      <c r="BP244" s="5">
        <v>0.122</v>
      </c>
      <c r="BQ244" s="5">
        <v>0.11199999999999999</v>
      </c>
      <c r="BR244" s="5">
        <v>0.122</v>
      </c>
      <c r="BS244" s="5">
        <v>0.14000000000000001</v>
      </c>
      <c r="BT244" s="5">
        <v>0.13600000000000001</v>
      </c>
      <c r="BU244" s="5">
        <v>0.13</v>
      </c>
      <c r="BV244" s="5">
        <v>0.128</v>
      </c>
      <c r="BW244" s="5">
        <v>0.13200000000000001</v>
      </c>
      <c r="BX244" s="5">
        <v>0.128</v>
      </c>
      <c r="BY244" s="5">
        <v>0.12</v>
      </c>
      <c r="BZ244" s="5">
        <v>0.1</v>
      </c>
      <c r="CA244" s="5">
        <v>0.105</v>
      </c>
      <c r="CB244" s="5">
        <v>0.10400000000000001</v>
      </c>
      <c r="CC244" s="5">
        <v>0.1</v>
      </c>
      <c r="CH244" s="44"/>
    </row>
    <row r="245" spans="1:86" x14ac:dyDescent="0.2">
      <c r="A245" s="3" t="s">
        <v>6</v>
      </c>
      <c r="B245" s="39">
        <v>482</v>
      </c>
      <c r="C245" s="82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BN245" s="5">
        <v>8.6999999999999994E-2</v>
      </c>
      <c r="BO245" s="5">
        <v>8.199999999999999E-2</v>
      </c>
      <c r="BP245" s="5">
        <v>8.5000000000000006E-2</v>
      </c>
      <c r="BQ245" s="5">
        <v>8.5999999999999993E-2</v>
      </c>
      <c r="BR245" s="5">
        <v>9.4E-2</v>
      </c>
      <c r="BS245" s="5">
        <v>0.10099999999999999</v>
      </c>
      <c r="BT245" s="5">
        <v>0.10300000000000001</v>
      </c>
      <c r="BU245" s="5">
        <v>0.11</v>
      </c>
      <c r="BV245" s="5">
        <v>0.1</v>
      </c>
      <c r="BW245" s="5">
        <v>9.6000000000000002E-2</v>
      </c>
      <c r="BX245" s="5">
        <v>0.10199999999999999</v>
      </c>
      <c r="BY245" s="5">
        <v>9.1999999999999998E-2</v>
      </c>
      <c r="BZ245" s="5">
        <v>8.6999999999999994E-2</v>
      </c>
      <c r="CA245" s="5">
        <v>0.08</v>
      </c>
      <c r="CB245" s="5">
        <v>8.199999999999999E-2</v>
      </c>
      <c r="CC245" s="5">
        <v>8.4000000000000005E-2</v>
      </c>
      <c r="CH245" s="44"/>
    </row>
    <row r="246" spans="1:86" x14ac:dyDescent="0.2">
      <c r="A246" s="3" t="s">
        <v>6</v>
      </c>
      <c r="B246" s="39">
        <v>482</v>
      </c>
      <c r="C246" s="82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BN246" s="5">
        <v>7.2999999999999995E-2</v>
      </c>
      <c r="BO246" s="5">
        <v>7.5999999999999998E-2</v>
      </c>
      <c r="BP246" s="5">
        <v>7.0000000000000007E-2</v>
      </c>
      <c r="BQ246" s="5">
        <v>6.5000000000000002E-2</v>
      </c>
      <c r="BR246" s="5">
        <v>0.08</v>
      </c>
      <c r="BS246" s="5">
        <v>8.5000000000000006E-2</v>
      </c>
      <c r="BT246" s="5">
        <v>8.1000000000000003E-2</v>
      </c>
      <c r="BU246" s="5">
        <v>8.8000000000000009E-2</v>
      </c>
      <c r="BV246" s="5">
        <v>8.900000000000001E-2</v>
      </c>
      <c r="BW246" s="5">
        <v>7.9000000000000001E-2</v>
      </c>
      <c r="BX246" s="5">
        <v>8.1000000000000003E-2</v>
      </c>
      <c r="BY246" s="5">
        <v>7.9000000000000001E-2</v>
      </c>
      <c r="BZ246" s="5">
        <v>7.2999999999999995E-2</v>
      </c>
      <c r="CA246" s="5">
        <v>7.4999999999999997E-2</v>
      </c>
      <c r="CB246" s="5">
        <v>6.8000000000000005E-2</v>
      </c>
      <c r="CC246" s="5">
        <v>7.0999999999999994E-2</v>
      </c>
      <c r="CH246" s="44"/>
    </row>
    <row r="247" spans="1:86" x14ac:dyDescent="0.2">
      <c r="A247" s="3" t="s">
        <v>6</v>
      </c>
      <c r="B247" s="39">
        <v>482</v>
      </c>
      <c r="C247" s="82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BN247" s="5">
        <v>5.9000000000000004E-2</v>
      </c>
      <c r="BO247" s="5">
        <v>6.2E-2</v>
      </c>
      <c r="BP247" s="5">
        <v>6.5000000000000002E-2</v>
      </c>
      <c r="BQ247" s="5">
        <v>5.2999999999999999E-2</v>
      </c>
      <c r="BR247" s="5">
        <v>6.0999999999999999E-2</v>
      </c>
      <c r="BS247" s="5">
        <v>7.2000000000000008E-2</v>
      </c>
      <c r="BT247" s="5">
        <v>7.0000000000000007E-2</v>
      </c>
      <c r="BU247" s="5">
        <v>7.0000000000000007E-2</v>
      </c>
      <c r="BV247" s="5">
        <v>7.400000000000001E-2</v>
      </c>
      <c r="BW247" s="5">
        <v>7.2000000000000008E-2</v>
      </c>
      <c r="BX247" s="5">
        <v>7.0000000000000007E-2</v>
      </c>
      <c r="BY247" s="5">
        <v>6.6000000000000003E-2</v>
      </c>
      <c r="BZ247" s="5">
        <v>6.6000000000000003E-2</v>
      </c>
      <c r="CA247" s="5">
        <v>6.6000000000000003E-2</v>
      </c>
      <c r="CB247" s="5">
        <v>6.6000000000000003E-2</v>
      </c>
      <c r="CC247" s="5">
        <v>6.0999999999999999E-2</v>
      </c>
      <c r="CH247" s="44"/>
    </row>
    <row r="248" spans="1:86" x14ac:dyDescent="0.2">
      <c r="A248" s="3" t="s">
        <v>6</v>
      </c>
      <c r="B248" s="39">
        <v>482</v>
      </c>
      <c r="C248" s="82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BN248" s="5">
        <v>4.5999999999999999E-2</v>
      </c>
      <c r="BO248" s="5">
        <v>4.9000000000000002E-2</v>
      </c>
      <c r="BP248" s="5">
        <v>5.0999999999999997E-2</v>
      </c>
      <c r="BQ248" s="5">
        <v>4.8000000000000001E-2</v>
      </c>
      <c r="BR248" s="5">
        <v>4.8000000000000001E-2</v>
      </c>
      <c r="BS248" s="5">
        <v>5.5E-2</v>
      </c>
      <c r="BT248" s="5">
        <v>5.9000000000000004E-2</v>
      </c>
      <c r="BU248" s="5">
        <v>5.9000000000000004E-2</v>
      </c>
      <c r="BV248" s="5">
        <v>5.7000000000000002E-2</v>
      </c>
      <c r="BW248" s="5">
        <v>5.9000000000000004E-2</v>
      </c>
      <c r="BX248" s="5">
        <v>6.4000000000000001E-2</v>
      </c>
      <c r="BY248" s="5">
        <v>5.7999999999999996E-2</v>
      </c>
      <c r="BZ248" s="5">
        <v>5.5E-2</v>
      </c>
      <c r="CA248" s="5">
        <v>5.9000000000000004E-2</v>
      </c>
      <c r="CB248" s="5">
        <v>5.7999999999999996E-2</v>
      </c>
      <c r="CC248" s="5">
        <v>5.7999999999999996E-2</v>
      </c>
      <c r="CH248" s="44"/>
    </row>
    <row r="249" spans="1:86" x14ac:dyDescent="0.2">
      <c r="A249" s="3" t="s">
        <v>6</v>
      </c>
      <c r="B249" s="39">
        <v>482</v>
      </c>
      <c r="C249" s="82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BN249" s="5">
        <v>3.4000000000000002E-2</v>
      </c>
      <c r="BO249" s="5">
        <v>3.7000000000000005E-2</v>
      </c>
      <c r="BP249" s="5">
        <v>3.9E-2</v>
      </c>
      <c r="BQ249" s="5">
        <v>3.6000000000000004E-2</v>
      </c>
      <c r="BR249" s="5">
        <v>4.0999999999999995E-2</v>
      </c>
      <c r="BS249" s="5">
        <v>4.0999999999999995E-2</v>
      </c>
      <c r="BT249" s="5">
        <v>4.0999999999999995E-2</v>
      </c>
      <c r="BU249" s="5">
        <v>4.7E-2</v>
      </c>
      <c r="BV249" s="5">
        <v>4.4999999999999998E-2</v>
      </c>
      <c r="BW249" s="5">
        <v>4.2999999999999997E-2</v>
      </c>
      <c r="BX249" s="5">
        <v>0.05</v>
      </c>
      <c r="BY249" s="5">
        <v>0.05</v>
      </c>
      <c r="BZ249" s="5">
        <v>4.4999999999999998E-2</v>
      </c>
      <c r="CA249" s="5">
        <v>4.5999999999999999E-2</v>
      </c>
      <c r="CB249" s="5">
        <v>4.9000000000000002E-2</v>
      </c>
      <c r="CC249" s="5">
        <v>4.9000000000000002E-2</v>
      </c>
      <c r="CH249" s="44"/>
    </row>
    <row r="250" spans="1:86" x14ac:dyDescent="0.2">
      <c r="A250" s="3" t="s">
        <v>6</v>
      </c>
      <c r="B250" s="39">
        <v>482</v>
      </c>
      <c r="C250" s="82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BN250" s="5">
        <v>2.7000000000000003E-2</v>
      </c>
      <c r="BO250" s="5">
        <v>2.8999999999999998E-2</v>
      </c>
      <c r="BP250" s="5">
        <v>0.03</v>
      </c>
      <c r="BQ250" s="5">
        <v>2.8999999999999998E-2</v>
      </c>
      <c r="BR250" s="5">
        <v>3.2000000000000001E-2</v>
      </c>
      <c r="BS250" s="5">
        <v>3.6000000000000004E-2</v>
      </c>
      <c r="BT250" s="5">
        <v>3.3000000000000002E-2</v>
      </c>
      <c r="BU250" s="5">
        <v>3.6000000000000004E-2</v>
      </c>
      <c r="BV250" s="5">
        <v>3.7999999999999999E-2</v>
      </c>
      <c r="BW250" s="5">
        <v>3.5000000000000003E-2</v>
      </c>
      <c r="BX250" s="5">
        <v>3.9E-2</v>
      </c>
      <c r="BY250" s="5">
        <v>4.0999999999999995E-2</v>
      </c>
      <c r="BZ250" s="5">
        <v>4.2000000000000003E-2</v>
      </c>
      <c r="CA250" s="5">
        <v>0.04</v>
      </c>
      <c r="CB250" s="5">
        <v>4.2000000000000003E-2</v>
      </c>
      <c r="CC250" s="5">
        <v>4.2999999999999997E-2</v>
      </c>
      <c r="CH250" s="44"/>
    </row>
    <row r="251" spans="1:86" x14ac:dyDescent="0.2">
      <c r="A251" s="3" t="s">
        <v>6</v>
      </c>
      <c r="B251" s="39">
        <v>482</v>
      </c>
      <c r="C251" s="82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BN251" s="5">
        <v>2.2000000000000002E-2</v>
      </c>
      <c r="BO251" s="5">
        <v>2.4E-2</v>
      </c>
      <c r="BP251" s="5">
        <v>2.5000000000000001E-2</v>
      </c>
      <c r="BQ251" s="5">
        <v>2.4E-2</v>
      </c>
      <c r="BR251" s="5">
        <v>2.7000000000000003E-2</v>
      </c>
      <c r="BS251" s="5">
        <v>0.03</v>
      </c>
      <c r="BT251" s="5">
        <v>3.1E-2</v>
      </c>
      <c r="BU251" s="5">
        <v>2.8999999999999998E-2</v>
      </c>
      <c r="BV251" s="5">
        <v>2.8999999999999998E-2</v>
      </c>
      <c r="BW251" s="5">
        <v>3.1E-2</v>
      </c>
      <c r="BX251" s="5">
        <v>3.3000000000000002E-2</v>
      </c>
      <c r="BY251" s="5">
        <v>3.4000000000000002E-2</v>
      </c>
      <c r="BZ251" s="5">
        <v>3.5000000000000003E-2</v>
      </c>
      <c r="CA251" s="5">
        <v>3.7999999999999999E-2</v>
      </c>
      <c r="CB251" s="5">
        <v>3.7000000000000005E-2</v>
      </c>
      <c r="CC251" s="5">
        <v>3.7000000000000005E-2</v>
      </c>
      <c r="CH251" s="44"/>
    </row>
    <row r="252" spans="1:86" x14ac:dyDescent="0.2">
      <c r="A252" s="3" t="s">
        <v>6</v>
      </c>
      <c r="B252" s="39">
        <v>482</v>
      </c>
      <c r="C252" s="82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BN252" s="5">
        <v>1.9E-2</v>
      </c>
      <c r="BO252" s="5">
        <v>0.02</v>
      </c>
      <c r="BP252" s="5">
        <v>2.1000000000000001E-2</v>
      </c>
      <c r="BQ252" s="5">
        <v>0.02</v>
      </c>
      <c r="BR252" s="5">
        <v>2.2000000000000002E-2</v>
      </c>
      <c r="BS252" s="5">
        <v>2.5000000000000001E-2</v>
      </c>
      <c r="BT252" s="5">
        <v>2.5000000000000001E-2</v>
      </c>
      <c r="BU252" s="5">
        <v>2.7999999999999997E-2</v>
      </c>
      <c r="BV252" s="5">
        <v>2.4E-2</v>
      </c>
      <c r="BW252" s="5">
        <v>2.4E-2</v>
      </c>
      <c r="BX252" s="5">
        <v>2.8999999999999998E-2</v>
      </c>
      <c r="BY252" s="5">
        <v>0.03</v>
      </c>
      <c r="BZ252" s="5">
        <v>2.8999999999999998E-2</v>
      </c>
      <c r="CA252" s="5">
        <v>3.3000000000000002E-2</v>
      </c>
      <c r="CB252" s="5">
        <v>3.5000000000000003E-2</v>
      </c>
      <c r="CC252" s="5">
        <v>3.3000000000000002E-2</v>
      </c>
      <c r="CH252" s="44"/>
    </row>
    <row r="253" spans="1:86" x14ac:dyDescent="0.2">
      <c r="A253" s="3" t="s">
        <v>6</v>
      </c>
      <c r="B253" s="39">
        <v>482</v>
      </c>
      <c r="C253" s="82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BN253" s="5">
        <v>1.7000000000000001E-2</v>
      </c>
      <c r="BO253" s="5">
        <v>1.7000000000000001E-2</v>
      </c>
      <c r="BP253" s="5">
        <v>1.8000000000000002E-2</v>
      </c>
      <c r="BQ253" s="5">
        <v>1.7000000000000001E-2</v>
      </c>
      <c r="BR253" s="5">
        <v>1.9E-2</v>
      </c>
      <c r="BS253" s="5">
        <v>0.02</v>
      </c>
      <c r="BT253" s="5">
        <v>2.1000000000000001E-2</v>
      </c>
      <c r="BU253" s="5">
        <v>2.3E-2</v>
      </c>
      <c r="BV253" s="5">
        <v>2.3E-2</v>
      </c>
      <c r="BW253" s="5">
        <v>0.02</v>
      </c>
      <c r="BX253" s="5">
        <v>2.3E-2</v>
      </c>
      <c r="BY253" s="5">
        <v>2.6000000000000002E-2</v>
      </c>
      <c r="BZ253" s="5">
        <v>2.6000000000000002E-2</v>
      </c>
      <c r="CA253" s="5">
        <v>2.7000000000000003E-2</v>
      </c>
      <c r="CB253" s="5">
        <v>2.8999999999999998E-2</v>
      </c>
      <c r="CC253" s="5">
        <v>3.1E-2</v>
      </c>
      <c r="CH253" s="44"/>
    </row>
    <row r="254" spans="1:86" x14ac:dyDescent="0.2">
      <c r="A254" s="3" t="s">
        <v>6</v>
      </c>
      <c r="B254" s="39">
        <v>482</v>
      </c>
      <c r="C254" s="82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BN254" s="5">
        <v>1.4999999999999999E-2</v>
      </c>
      <c r="BO254" s="5">
        <v>1.6E-2</v>
      </c>
      <c r="BP254" s="5">
        <v>1.6E-2</v>
      </c>
      <c r="BQ254" s="5">
        <v>1.4999999999999999E-2</v>
      </c>
      <c r="BR254" s="5">
        <v>1.7000000000000001E-2</v>
      </c>
      <c r="BS254" s="5">
        <v>1.8000000000000002E-2</v>
      </c>
      <c r="BT254" s="5">
        <v>1.8000000000000002E-2</v>
      </c>
      <c r="BU254" s="5">
        <v>0.02</v>
      </c>
      <c r="BV254" s="5">
        <v>0.02</v>
      </c>
      <c r="BW254" s="5">
        <v>0.02</v>
      </c>
      <c r="BX254" s="5">
        <v>1.9E-2</v>
      </c>
      <c r="BY254" s="5">
        <v>2.1000000000000001E-2</v>
      </c>
      <c r="BZ254" s="5">
        <v>2.4E-2</v>
      </c>
      <c r="CA254" s="5">
        <v>2.5000000000000001E-2</v>
      </c>
      <c r="CB254" s="5">
        <v>2.4E-2</v>
      </c>
      <c r="CC254" s="5">
        <v>2.6000000000000002E-2</v>
      </c>
      <c r="CH254" s="44"/>
    </row>
    <row r="255" spans="1:86" x14ac:dyDescent="0.2">
      <c r="A255" s="3" t="s">
        <v>6</v>
      </c>
      <c r="B255" s="39">
        <v>482</v>
      </c>
      <c r="C255" s="82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BN255" s="5">
        <v>1.3000000000000001E-2</v>
      </c>
      <c r="BO255" s="5">
        <v>1.4999999999999999E-2</v>
      </c>
      <c r="BP255" s="5">
        <v>1.4999999999999999E-2</v>
      </c>
      <c r="BQ255" s="5">
        <v>1.3999999999999999E-2</v>
      </c>
      <c r="BR255" s="5">
        <v>1.4999999999999999E-2</v>
      </c>
      <c r="BS255" s="5">
        <v>1.6E-2</v>
      </c>
      <c r="BT255" s="5">
        <v>1.6E-2</v>
      </c>
      <c r="BU255" s="5">
        <v>1.7000000000000001E-2</v>
      </c>
      <c r="BV255" s="5">
        <v>1.7000000000000001E-2</v>
      </c>
      <c r="BW255" s="5">
        <v>1.8000000000000002E-2</v>
      </c>
      <c r="BX255" s="5">
        <v>0.02</v>
      </c>
      <c r="BY255" s="5">
        <v>1.9E-2</v>
      </c>
      <c r="BZ255" s="5">
        <v>0.02</v>
      </c>
      <c r="CA255" s="5">
        <v>2.3E-2</v>
      </c>
      <c r="CB255" s="5">
        <v>2.3E-2</v>
      </c>
      <c r="CC255" s="5">
        <v>2.2000000000000002E-2</v>
      </c>
      <c r="CH255" s="44"/>
    </row>
    <row r="256" spans="1:86" x14ac:dyDescent="0.2">
      <c r="A256" s="3" t="s">
        <v>6</v>
      </c>
      <c r="B256" s="39">
        <v>482</v>
      </c>
      <c r="C256" s="82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BN256" s="5">
        <v>1.2E-2</v>
      </c>
      <c r="BO256" s="5">
        <v>1.3000000000000001E-2</v>
      </c>
      <c r="BP256" s="5">
        <v>1.3999999999999999E-2</v>
      </c>
      <c r="BQ256" s="5">
        <v>1.3000000000000001E-2</v>
      </c>
      <c r="BR256" s="5">
        <v>1.4999999999999999E-2</v>
      </c>
      <c r="BS256" s="5">
        <v>1.4999999999999999E-2</v>
      </c>
      <c r="BT256" s="5">
        <v>1.4999999999999999E-2</v>
      </c>
      <c r="BU256" s="5">
        <v>1.6E-2</v>
      </c>
      <c r="BV256" s="5">
        <v>1.6E-2</v>
      </c>
      <c r="BW256" s="5">
        <v>1.6E-2</v>
      </c>
      <c r="BX256" s="5">
        <v>1.8000000000000002E-2</v>
      </c>
      <c r="BY256" s="5">
        <v>0.02</v>
      </c>
      <c r="BZ256" s="5">
        <v>1.8000000000000002E-2</v>
      </c>
      <c r="CA256" s="5">
        <v>0.02</v>
      </c>
      <c r="CB256" s="5">
        <v>2.2000000000000002E-2</v>
      </c>
      <c r="CC256" s="5">
        <v>2.2000000000000002E-2</v>
      </c>
      <c r="CH256" s="44"/>
    </row>
    <row r="257" spans="1:103" x14ac:dyDescent="0.2">
      <c r="A257" s="3" t="s">
        <v>6</v>
      </c>
      <c r="B257" s="39">
        <v>482</v>
      </c>
      <c r="C257" s="82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BN257" s="5">
        <v>1.1000000000000001E-2</v>
      </c>
      <c r="BO257" s="5">
        <v>1.2E-2</v>
      </c>
      <c r="BP257" s="5">
        <v>1.3000000000000001E-2</v>
      </c>
      <c r="BQ257" s="5">
        <v>1.3999999999999999E-2</v>
      </c>
      <c r="BR257" s="5">
        <v>1.4999999999999999E-2</v>
      </c>
      <c r="BS257" s="5">
        <v>1.4999999999999999E-2</v>
      </c>
      <c r="BT257" s="5">
        <v>1.3999999999999999E-2</v>
      </c>
      <c r="BU257" s="5">
        <v>1.4999999999999999E-2</v>
      </c>
      <c r="BV257" s="5">
        <v>1.4999999999999999E-2</v>
      </c>
      <c r="BW257" s="5">
        <v>1.6E-2</v>
      </c>
      <c r="BX257" s="5">
        <v>1.8000000000000002E-2</v>
      </c>
      <c r="BY257" s="5">
        <v>1.9E-2</v>
      </c>
      <c r="BZ257" s="5">
        <v>0.02</v>
      </c>
      <c r="CA257" s="5">
        <v>1.9E-2</v>
      </c>
      <c r="CB257" s="5">
        <v>0.02</v>
      </c>
      <c r="CC257" s="5">
        <v>2.3E-2</v>
      </c>
      <c r="CH257" s="44"/>
    </row>
    <row r="258" spans="1:103" x14ac:dyDescent="0.2">
      <c r="A258" s="3" t="s">
        <v>6</v>
      </c>
      <c r="B258" s="39">
        <v>482</v>
      </c>
      <c r="C258" s="82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BN258" s="5">
        <v>1.1000000000000001E-2</v>
      </c>
      <c r="BO258" s="5">
        <v>1.2E-2</v>
      </c>
      <c r="BP258" s="5">
        <v>1.3000000000000001E-2</v>
      </c>
      <c r="BQ258" s="5">
        <v>1.3000000000000001E-2</v>
      </c>
      <c r="BR258" s="5">
        <v>1.4999999999999999E-2</v>
      </c>
      <c r="BS258" s="5">
        <v>1.4999999999999999E-2</v>
      </c>
      <c r="BT258" s="5">
        <v>1.4999999999999999E-2</v>
      </c>
      <c r="BU258" s="5">
        <v>1.4999999999999999E-2</v>
      </c>
      <c r="BV258" s="5">
        <v>1.4999999999999999E-2</v>
      </c>
      <c r="BW258" s="5">
        <v>1.4999999999999999E-2</v>
      </c>
      <c r="BX258" s="5">
        <v>1.7000000000000001E-2</v>
      </c>
      <c r="BY258" s="5">
        <v>1.9E-2</v>
      </c>
      <c r="BZ258" s="5">
        <v>0.02</v>
      </c>
      <c r="CA258" s="5">
        <v>2.1000000000000001E-2</v>
      </c>
      <c r="CB258" s="5">
        <v>1.9E-2</v>
      </c>
      <c r="CC258" s="5">
        <v>0.02</v>
      </c>
      <c r="CH258" s="44"/>
    </row>
    <row r="259" spans="1:103" x14ac:dyDescent="0.2">
      <c r="A259" s="3" t="s">
        <v>6</v>
      </c>
      <c r="B259" s="39">
        <v>482</v>
      </c>
      <c r="C259" s="82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BN259" s="5">
        <v>0.01</v>
      </c>
      <c r="BO259" s="5">
        <v>1.1000000000000001E-2</v>
      </c>
      <c r="BP259" s="5">
        <v>1.2E-2</v>
      </c>
      <c r="BQ259" s="5">
        <v>1.2E-2</v>
      </c>
      <c r="BR259" s="5">
        <v>1.3999999999999999E-2</v>
      </c>
      <c r="BS259" s="5">
        <v>1.6E-2</v>
      </c>
      <c r="BT259" s="5">
        <v>1.4999999999999999E-2</v>
      </c>
      <c r="BU259" s="5">
        <v>1.6E-2</v>
      </c>
      <c r="BV259" s="5">
        <v>1.4999999999999999E-2</v>
      </c>
      <c r="BW259" s="5">
        <v>1.4999999999999999E-2</v>
      </c>
      <c r="BX259" s="5">
        <v>1.6E-2</v>
      </c>
      <c r="BY259" s="5">
        <v>1.8000000000000002E-2</v>
      </c>
      <c r="BZ259" s="5">
        <v>1.9E-2</v>
      </c>
      <c r="CA259" s="5">
        <v>2.1000000000000001E-2</v>
      </c>
      <c r="CB259" s="5">
        <v>2.2000000000000002E-2</v>
      </c>
      <c r="CC259" s="5">
        <v>0.02</v>
      </c>
      <c r="CH259" s="44"/>
    </row>
    <row r="260" spans="1:103" s="46" customFormat="1" x14ac:dyDescent="0.2">
      <c r="A260" s="38" t="s">
        <v>6</v>
      </c>
      <c r="B260" s="40">
        <v>482</v>
      </c>
      <c r="C260" s="83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BN260" s="48">
        <v>9.0000000000000011E-3</v>
      </c>
      <c r="BO260" s="48">
        <v>0.01</v>
      </c>
      <c r="BP260" s="48">
        <v>1.1000000000000001E-2</v>
      </c>
      <c r="BQ260" s="48">
        <v>1.2E-2</v>
      </c>
      <c r="BR260" s="48">
        <v>1.3000000000000001E-2</v>
      </c>
      <c r="BS260" s="48">
        <v>1.3999999999999999E-2</v>
      </c>
      <c r="BT260" s="48">
        <v>1.4999999999999999E-2</v>
      </c>
      <c r="BU260" s="48">
        <v>1.4999999999999999E-2</v>
      </c>
      <c r="BV260" s="48">
        <v>1.4999999999999999E-2</v>
      </c>
      <c r="BW260" s="48">
        <v>1.4999999999999999E-2</v>
      </c>
      <c r="BX260" s="48">
        <v>1.6E-2</v>
      </c>
      <c r="BY260" s="48">
        <v>1.7000000000000001E-2</v>
      </c>
      <c r="BZ260" s="48">
        <v>1.9E-2</v>
      </c>
      <c r="CA260" s="48">
        <v>0.02</v>
      </c>
      <c r="CB260" s="48">
        <v>2.1000000000000001E-2</v>
      </c>
      <c r="CC260" s="48">
        <v>2.3E-2</v>
      </c>
      <c r="CD260" s="53"/>
      <c r="CE260" s="53"/>
      <c r="CF260" s="53"/>
      <c r="CG260" s="53"/>
      <c r="CH260" s="55"/>
    </row>
    <row r="261" spans="1:103" x14ac:dyDescent="0.2">
      <c r="A261" s="3" t="s">
        <v>7</v>
      </c>
      <c r="B261" s="39">
        <v>483</v>
      </c>
      <c r="C261" s="82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O261" s="15"/>
      <c r="P261" s="16"/>
      <c r="Q261" s="15"/>
      <c r="R261" s="15"/>
      <c r="S261" s="15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>
        <f>165/10000</f>
        <v>1.6500000000000001E-2</v>
      </c>
      <c r="AH261" s="16"/>
      <c r="AL261" s="16"/>
      <c r="AM261" s="16"/>
      <c r="AN261" s="16"/>
      <c r="AO261" s="16"/>
      <c r="AP261" s="16"/>
      <c r="AQ261" s="16">
        <f>188/10000</f>
        <v>1.8800000000000001E-2</v>
      </c>
      <c r="AS261" s="17"/>
      <c r="AT261" s="16"/>
      <c r="AU261" s="5"/>
      <c r="AW261" s="18"/>
      <c r="BA261" s="16">
        <f>223/10000</f>
        <v>2.23E-2</v>
      </c>
      <c r="BB261" s="16"/>
      <c r="BC261" s="19"/>
      <c r="BD261" s="18"/>
      <c r="BF261" s="16"/>
      <c r="BK261" s="20"/>
      <c r="BM261" s="19"/>
      <c r="BO261" s="16"/>
      <c r="BP261"/>
      <c r="BQ261" s="19"/>
      <c r="BS261"/>
      <c r="BU261" s="5"/>
      <c r="CH261" s="44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</row>
    <row r="262" spans="1:103" x14ac:dyDescent="0.2">
      <c r="A262" s="3" t="s">
        <v>7</v>
      </c>
      <c r="B262" s="39">
        <v>484</v>
      </c>
      <c r="C262" s="82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O262" s="15"/>
      <c r="P262" s="16"/>
      <c r="Q262" s="15"/>
      <c r="R262" s="15"/>
      <c r="S262" s="15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L262" s="16"/>
      <c r="AM262" s="16"/>
      <c r="AN262" s="16"/>
      <c r="AO262" s="16"/>
      <c r="AP262" s="16"/>
      <c r="AQ262" s="16"/>
      <c r="AS262" s="17"/>
      <c r="AT262" s="16"/>
      <c r="AU262" s="5"/>
      <c r="AW262" s="18"/>
      <c r="BA262" s="16">
        <f>19.3/1000</f>
        <v>1.9300000000000001E-2</v>
      </c>
      <c r="BB262" s="16"/>
      <c r="BC262" s="19"/>
      <c r="BD262" s="18"/>
      <c r="BF262" s="16"/>
      <c r="BI262" s="16">
        <f>27.4/1000</f>
        <v>2.7399999999999997E-2</v>
      </c>
      <c r="BK262" s="20"/>
      <c r="BM262" s="19"/>
      <c r="BO262" s="16"/>
      <c r="BP262"/>
      <c r="BQ262" s="19"/>
      <c r="BS262"/>
      <c r="BU262" s="5"/>
      <c r="CH262" s="44"/>
      <c r="CL262" s="5"/>
    </row>
    <row r="263" spans="1:103" x14ac:dyDescent="0.2">
      <c r="A263" s="3" t="s">
        <v>7</v>
      </c>
      <c r="B263" s="39">
        <v>484</v>
      </c>
      <c r="C263" s="82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O263" s="15"/>
      <c r="P263" s="16"/>
      <c r="Q263" s="15"/>
      <c r="R263" s="15"/>
      <c r="S263" s="15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L263" s="16"/>
      <c r="AM263" s="16"/>
      <c r="AN263" s="16"/>
      <c r="AO263" s="16"/>
      <c r="AP263" s="16"/>
      <c r="AQ263" s="16"/>
      <c r="AS263" s="17"/>
      <c r="AT263" s="16"/>
      <c r="AU263" s="5"/>
      <c r="AW263" s="18"/>
      <c r="BA263" s="16">
        <f>24.3/1000</f>
        <v>2.4300000000000002E-2</v>
      </c>
      <c r="BB263" s="16"/>
      <c r="BC263" s="19"/>
      <c r="BD263" s="18"/>
      <c r="BF263" s="16"/>
      <c r="BI263" s="16">
        <f>31.8/1000</f>
        <v>3.1800000000000002E-2</v>
      </c>
      <c r="BK263" s="20"/>
      <c r="BM263" s="19"/>
      <c r="BO263" s="16"/>
      <c r="BP263"/>
      <c r="BQ263" s="19"/>
      <c r="BS263"/>
      <c r="BU263" s="5"/>
      <c r="CH263" s="44"/>
      <c r="CL263" s="5"/>
    </row>
    <row r="264" spans="1:103" x14ac:dyDescent="0.2">
      <c r="A264" s="3" t="s">
        <v>7</v>
      </c>
      <c r="B264" s="39">
        <v>485</v>
      </c>
      <c r="C264" s="82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O264" s="15"/>
      <c r="P264" s="16"/>
      <c r="Q264" s="15"/>
      <c r="R264" s="15"/>
      <c r="S264" s="15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L264" s="16"/>
      <c r="AM264" s="16"/>
      <c r="AN264" s="16"/>
      <c r="AO264" s="16"/>
      <c r="AP264" s="16"/>
      <c r="AQ264" s="16"/>
      <c r="AS264" s="17"/>
      <c r="AT264" s="16"/>
      <c r="AU264" s="5"/>
      <c r="AW264" s="18"/>
      <c r="AZ264" s="16">
        <f>1121.5/100000</f>
        <v>1.1214999999999999E-2</v>
      </c>
      <c r="BA264" s="16">
        <f>1141.6/100000</f>
        <v>1.1415999999999999E-2</v>
      </c>
      <c r="BB264" s="16">
        <f>1181.2/100000</f>
        <v>1.1812000000000001E-2</v>
      </c>
      <c r="BC264" s="16">
        <f>1188.6/100000</f>
        <v>1.1885999999999999E-2</v>
      </c>
      <c r="BD264" s="16">
        <f>1233.4/100000</f>
        <v>1.2334000000000001E-2</v>
      </c>
      <c r="BE264" s="16">
        <f>1248.3/100000</f>
        <v>1.2482999999999999E-2</v>
      </c>
      <c r="BF264" s="16">
        <f>1304.1/100000</f>
        <v>1.3040999999999999E-2</v>
      </c>
      <c r="BG264" s="16">
        <f>1303.3/100000</f>
        <v>1.3032999999999999E-2</v>
      </c>
      <c r="BH264" s="16">
        <f>1290.1/100000</f>
        <v>1.2900999999999999E-2</v>
      </c>
      <c r="BI264" s="16">
        <f>1281.2/100000</f>
        <v>1.2812E-2</v>
      </c>
      <c r="BJ264" s="16">
        <f>1278.3/100000</f>
        <v>1.2782999999999999E-2</v>
      </c>
      <c r="BK264" s="20"/>
      <c r="BM264" s="19"/>
      <c r="BO264" s="16"/>
      <c r="BP264"/>
      <c r="BQ264" s="19"/>
      <c r="BS264"/>
      <c r="BU264" s="5"/>
      <c r="CH264" s="44"/>
      <c r="CL264" s="5"/>
    </row>
    <row r="265" spans="1:103" x14ac:dyDescent="0.2">
      <c r="A265" s="3" t="s">
        <v>7</v>
      </c>
      <c r="B265" s="39">
        <v>485</v>
      </c>
      <c r="C265" s="82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O265" s="15"/>
      <c r="P265" s="16"/>
      <c r="Q265" s="15"/>
      <c r="R265" s="15"/>
      <c r="S265" s="15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L265" s="16"/>
      <c r="AM265" s="16"/>
      <c r="AN265" s="16"/>
      <c r="AO265" s="16"/>
      <c r="AP265" s="16"/>
      <c r="AQ265" s="16"/>
      <c r="AS265" s="17"/>
      <c r="AT265" s="16"/>
      <c r="AU265" s="5"/>
      <c r="AW265" s="18"/>
      <c r="AZ265" s="16">
        <f>1155.3/100000</f>
        <v>1.1552999999999999E-2</v>
      </c>
      <c r="BA265" s="16">
        <f>1173.7/100000</f>
        <v>1.1737000000000001E-2</v>
      </c>
      <c r="BB265" s="16">
        <f>1196.6/100000</f>
        <v>1.1965999999999999E-2</v>
      </c>
      <c r="BC265" s="16">
        <f>1206.6/100000</f>
        <v>1.2065999999999999E-2</v>
      </c>
      <c r="BD265" s="16">
        <f>1227.7/100000</f>
        <v>1.2277E-2</v>
      </c>
      <c r="BE265" s="16">
        <f>1255.8/100000</f>
        <v>1.2558E-2</v>
      </c>
      <c r="BF265" s="16">
        <f>1278.2/100000</f>
        <v>1.2782E-2</v>
      </c>
      <c r="BG265" s="16">
        <f>1295.1/100000</f>
        <v>1.2950999999999999E-2</v>
      </c>
      <c r="BH265" s="16">
        <f>1314.4/100000</f>
        <v>1.3144000000000001E-2</v>
      </c>
      <c r="BI265" s="16">
        <f>1349.4/100000</f>
        <v>1.3494000000000001E-2</v>
      </c>
      <c r="BJ265" s="16">
        <f>1378.2/100000</f>
        <v>1.3782000000000001E-2</v>
      </c>
      <c r="BK265" s="20"/>
      <c r="BM265" s="19"/>
      <c r="BO265" s="16"/>
      <c r="BP265"/>
      <c r="BQ265" s="19"/>
      <c r="BS265"/>
      <c r="BU265" s="5"/>
      <c r="CH265" s="44"/>
      <c r="CL265" s="5"/>
    </row>
    <row r="266" spans="1:103" x14ac:dyDescent="0.2">
      <c r="A266" s="3" t="s">
        <v>7</v>
      </c>
      <c r="B266" s="39">
        <v>485</v>
      </c>
      <c r="C266" s="82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O266" s="15"/>
      <c r="P266" s="16"/>
      <c r="Q266" s="15"/>
      <c r="R266" s="15"/>
      <c r="S266" s="15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L266" s="16"/>
      <c r="AM266" s="16"/>
      <c r="AN266" s="16"/>
      <c r="AO266" s="16"/>
      <c r="AP266" s="16"/>
      <c r="AQ266" s="16"/>
      <c r="AS266" s="17"/>
      <c r="AT266" s="16"/>
      <c r="AU266" s="5"/>
      <c r="AW266" s="18"/>
      <c r="AZ266" s="16"/>
      <c r="BA266" s="16"/>
      <c r="BB266" s="16"/>
      <c r="BC266" s="16"/>
      <c r="BD266" s="16"/>
      <c r="BE266" s="16">
        <f>1841.1/100000</f>
        <v>1.8411E-2</v>
      </c>
      <c r="BF266" s="16">
        <f>1875.8/100000</f>
        <v>1.8758E-2</v>
      </c>
      <c r="BG266" s="16">
        <f>1900.2/100000</f>
        <v>1.9002000000000002E-2</v>
      </c>
      <c r="BH266" s="16">
        <f>1909.6/100000</f>
        <v>1.9095999999999998E-2</v>
      </c>
      <c r="BI266" s="16">
        <f>1936.9/100000</f>
        <v>1.9369000000000001E-2</v>
      </c>
      <c r="BJ266" s="16">
        <f>1978.9/100000</f>
        <v>1.9789000000000001E-2</v>
      </c>
      <c r="BK266" s="20"/>
      <c r="BM266" s="19"/>
      <c r="BO266" s="16"/>
      <c r="BP266"/>
      <c r="BQ266" s="19"/>
      <c r="BS266"/>
      <c r="BU266" s="5"/>
      <c r="CH266" s="44"/>
      <c r="CL266" s="5"/>
    </row>
    <row r="267" spans="1:103" x14ac:dyDescent="0.2">
      <c r="A267" s="3" t="s">
        <v>7</v>
      </c>
      <c r="B267" s="39">
        <v>485</v>
      </c>
      <c r="C267" s="82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O267" s="15"/>
      <c r="P267" s="16"/>
      <c r="Q267" s="15"/>
      <c r="R267" s="15"/>
      <c r="S267" s="15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L267" s="16"/>
      <c r="AM267" s="16"/>
      <c r="AN267" s="16"/>
      <c r="AO267" s="16"/>
      <c r="AP267" s="16"/>
      <c r="AQ267" s="16"/>
      <c r="AS267" s="17"/>
      <c r="AT267" s="16"/>
      <c r="AU267" s="5"/>
      <c r="AW267" s="18"/>
      <c r="AZ267" s="16"/>
      <c r="BA267" s="16"/>
      <c r="BB267" s="16"/>
      <c r="BC267" s="16"/>
      <c r="BD267" s="16"/>
      <c r="BE267" s="16">
        <f>1986.4/100000</f>
        <v>1.9864E-2</v>
      </c>
      <c r="BF267" s="16">
        <f>2015.9/100000</f>
        <v>2.0159E-2</v>
      </c>
      <c r="BG267" s="16">
        <f>2054.3/100000</f>
        <v>2.0543000000000002E-2</v>
      </c>
      <c r="BH267" s="16">
        <f>2086.8/100000</f>
        <v>2.0868000000000001E-2</v>
      </c>
      <c r="BI267" s="16">
        <f>2145.7/100000</f>
        <v>2.1456999999999997E-2</v>
      </c>
      <c r="BJ267" s="16">
        <f>2202.6/100000</f>
        <v>2.2026E-2</v>
      </c>
      <c r="BK267" s="20"/>
      <c r="BM267" s="19"/>
      <c r="BO267" s="16"/>
      <c r="BP267"/>
      <c r="BQ267" s="19"/>
      <c r="BS267"/>
      <c r="BU267" s="5"/>
      <c r="CH267" s="44"/>
      <c r="CL267" s="5"/>
    </row>
    <row r="268" spans="1:103" x14ac:dyDescent="0.2">
      <c r="A268" s="3" t="s">
        <v>7</v>
      </c>
      <c r="B268" s="39">
        <v>486</v>
      </c>
      <c r="C268" s="82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O268" s="15"/>
      <c r="P268" s="16"/>
      <c r="Q268" s="15"/>
      <c r="R268" s="15"/>
      <c r="S268" s="15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L268" s="16"/>
      <c r="AM268" s="16"/>
      <c r="AN268" s="16"/>
      <c r="AO268" s="16"/>
      <c r="AP268" s="16"/>
      <c r="AQ268" s="16"/>
      <c r="AS268" s="17"/>
      <c r="AT268" s="16"/>
      <c r="AU268" s="5"/>
      <c r="AW268" s="18"/>
      <c r="AZ268" s="16"/>
      <c r="BA268" s="16"/>
      <c r="BB268" s="16"/>
      <c r="BC268" s="16"/>
      <c r="BD268" s="16">
        <f>1057.6/100000</f>
        <v>1.0575999999999999E-2</v>
      </c>
      <c r="BE268" s="16"/>
      <c r="BF268" s="16"/>
      <c r="BG268" s="16"/>
      <c r="BH268" s="16"/>
      <c r="BI268" s="16"/>
      <c r="BJ268" s="16"/>
      <c r="BK268" s="20"/>
      <c r="BM268" s="16">
        <f>1270.6/100000</f>
        <v>1.2705999999999999E-2</v>
      </c>
      <c r="BO268" s="16"/>
      <c r="BP268"/>
      <c r="BQ268" s="19"/>
      <c r="BS268"/>
      <c r="BU268" s="5"/>
      <c r="CH268" s="44"/>
      <c r="CL268" s="5"/>
    </row>
    <row r="269" spans="1:103" x14ac:dyDescent="0.2">
      <c r="A269" s="3" t="s">
        <v>7</v>
      </c>
      <c r="B269" s="39">
        <v>486</v>
      </c>
      <c r="C269" s="82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O269" s="15"/>
      <c r="P269" s="16"/>
      <c r="Q269" s="15"/>
      <c r="R269" s="15"/>
      <c r="S269" s="15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L269" s="16"/>
      <c r="AM269" s="16"/>
      <c r="AN269" s="16"/>
      <c r="AO269" s="16"/>
      <c r="AP269" s="16"/>
      <c r="AQ269" s="16"/>
      <c r="AS269" s="17"/>
      <c r="AT269" s="16"/>
      <c r="AU269" s="5"/>
      <c r="AW269" s="18"/>
      <c r="AZ269" s="16"/>
      <c r="BA269" s="16"/>
      <c r="BB269" s="16"/>
      <c r="BC269" s="16"/>
      <c r="BD269" s="16">
        <f>858.6/100000</f>
        <v>8.5859999999999999E-3</v>
      </c>
      <c r="BE269" s="16"/>
      <c r="BF269" s="16"/>
      <c r="BG269" s="16"/>
      <c r="BH269" s="16"/>
      <c r="BI269" s="16"/>
      <c r="BJ269" s="16"/>
      <c r="BK269" s="20"/>
      <c r="BM269" s="16">
        <f>1094.1/100000</f>
        <v>1.0940999999999999E-2</v>
      </c>
      <c r="BO269" s="16"/>
      <c r="BP269"/>
      <c r="BQ269" s="19"/>
      <c r="BS269"/>
      <c r="BU269" s="5"/>
      <c r="CH269" s="44"/>
      <c r="CL269" s="5"/>
    </row>
    <row r="270" spans="1:103" x14ac:dyDescent="0.2">
      <c r="A270" s="3" t="s">
        <v>7</v>
      </c>
      <c r="B270" s="39">
        <v>487</v>
      </c>
      <c r="C270" s="82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O270" s="21"/>
      <c r="P270" s="22"/>
      <c r="Q270" s="21"/>
      <c r="R270" s="21"/>
      <c r="S270" s="21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3"/>
      <c r="AJ270" s="23"/>
      <c r="AK270" s="23"/>
      <c r="AL270" s="22"/>
      <c r="AM270" s="22"/>
      <c r="AN270" s="22"/>
      <c r="AO270" s="22"/>
      <c r="AP270" s="22"/>
      <c r="AQ270" s="22"/>
      <c r="AR270" s="23"/>
      <c r="AS270" s="22"/>
      <c r="AT270" s="22"/>
      <c r="AU270" s="24"/>
      <c r="AV270" s="23"/>
      <c r="AW270" s="25"/>
      <c r="AX270" s="23"/>
      <c r="AY270" s="23"/>
      <c r="AZ270" s="22"/>
      <c r="BA270" s="16"/>
      <c r="BB270" s="22"/>
      <c r="BC270" s="10">
        <f>17.4/1000</f>
        <v>1.7399999999999999E-2</v>
      </c>
      <c r="BD270" s="22"/>
      <c r="BE270" s="22"/>
      <c r="BF270" s="22"/>
      <c r="BG270" s="22"/>
      <c r="BH270" s="22"/>
      <c r="BI270" s="16"/>
      <c r="BJ270" s="16"/>
      <c r="BK270" s="16"/>
      <c r="BL270" s="16"/>
      <c r="BM270" s="16"/>
      <c r="BN270" s="16"/>
      <c r="BO270" s="16"/>
      <c r="BP270" s="16"/>
      <c r="BQ270" s="17"/>
      <c r="BR270" s="17"/>
      <c r="BS270" s="23"/>
      <c r="BT270" s="23"/>
      <c r="BU270" s="24"/>
      <c r="BV270" s="10">
        <f>37.6/1000</f>
        <v>3.7600000000000001E-2</v>
      </c>
      <c r="BW270" s="16"/>
      <c r="BX270" s="23"/>
      <c r="BY270" s="23"/>
      <c r="BZ270" s="23"/>
      <c r="CA270" s="23"/>
      <c r="CB270" s="23"/>
      <c r="CC270" s="23"/>
      <c r="CD270" s="23"/>
      <c r="CE270" s="23"/>
      <c r="CG270" s="23"/>
      <c r="CH270" s="56"/>
      <c r="CL270" s="5"/>
    </row>
    <row r="271" spans="1:103" x14ac:dyDescent="0.2">
      <c r="A271" s="3" t="s">
        <v>7</v>
      </c>
      <c r="B271" s="39">
        <v>487</v>
      </c>
      <c r="C271" s="82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O271" s="21"/>
      <c r="P271" s="22"/>
      <c r="Q271" s="21"/>
      <c r="R271" s="21"/>
      <c r="S271" s="21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3"/>
      <c r="AJ271" s="23"/>
      <c r="AK271" s="23"/>
      <c r="AL271" s="22"/>
      <c r="AM271" s="22"/>
      <c r="AN271" s="22"/>
      <c r="AO271" s="22"/>
      <c r="AP271" s="22"/>
      <c r="AQ271" s="22"/>
      <c r="AR271" s="23"/>
      <c r="AS271" s="22"/>
      <c r="AT271" s="22"/>
      <c r="AU271" s="24"/>
      <c r="AV271" s="23"/>
      <c r="AW271" s="25"/>
      <c r="AX271" s="23"/>
      <c r="AY271" s="23"/>
      <c r="AZ271" s="22"/>
      <c r="BA271" s="16"/>
      <c r="BB271" s="22"/>
      <c r="BC271" s="10">
        <f>22.71/1000</f>
        <v>2.2710000000000001E-2</v>
      </c>
      <c r="BD271" s="22"/>
      <c r="BE271" s="22"/>
      <c r="BF271" s="22"/>
      <c r="BG271" s="22"/>
      <c r="BH271" s="22"/>
      <c r="BI271" s="16"/>
      <c r="BJ271" s="16"/>
      <c r="BK271" s="16"/>
      <c r="BL271" s="16"/>
      <c r="BM271" s="16"/>
      <c r="BN271" s="16"/>
      <c r="BO271" s="16"/>
      <c r="BP271" s="16"/>
      <c r="BQ271" s="17"/>
      <c r="BR271" s="17"/>
      <c r="BS271" s="23"/>
      <c r="BT271" s="23"/>
      <c r="BU271" s="24"/>
      <c r="BV271" s="10">
        <f>36.5/1000</f>
        <v>3.6499999999999998E-2</v>
      </c>
      <c r="BW271" s="16"/>
      <c r="BX271" s="23"/>
      <c r="BY271" s="23"/>
      <c r="BZ271" s="23"/>
      <c r="CA271" s="23"/>
      <c r="CB271" s="23"/>
      <c r="CC271" s="23"/>
      <c r="CD271" s="23"/>
      <c r="CE271" s="23"/>
      <c r="CG271" s="23"/>
      <c r="CH271" s="56"/>
      <c r="CI271" s="16"/>
      <c r="CJ271" s="23"/>
      <c r="CK271" s="23"/>
      <c r="CL271" s="24"/>
      <c r="CM271" s="10"/>
      <c r="CN271" s="16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</row>
    <row r="272" spans="1:103" x14ac:dyDescent="0.2">
      <c r="A272" s="3" t="s">
        <v>7</v>
      </c>
      <c r="B272" s="39">
        <v>488</v>
      </c>
      <c r="C272" s="82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O272" s="21"/>
      <c r="P272" s="22"/>
      <c r="Q272" s="21"/>
      <c r="R272" s="21"/>
      <c r="S272" s="21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3"/>
      <c r="AJ272" s="23"/>
      <c r="AK272" s="23"/>
      <c r="AL272" s="22"/>
      <c r="AM272" s="22"/>
      <c r="AN272" s="22"/>
      <c r="AO272" s="22"/>
      <c r="AP272" s="22"/>
      <c r="AQ272" s="22"/>
      <c r="AR272" s="23"/>
      <c r="AS272" s="22"/>
      <c r="AT272" s="22"/>
      <c r="AU272" s="24"/>
      <c r="AV272" s="23"/>
      <c r="AW272" s="25"/>
      <c r="AX272" s="10"/>
      <c r="AY272" s="23"/>
      <c r="AZ272" s="22"/>
      <c r="BA272" s="16"/>
      <c r="BB272" s="22"/>
      <c r="BC272" s="10"/>
      <c r="BD272" s="22"/>
      <c r="BE272" s="22"/>
      <c r="BF272" s="22"/>
      <c r="BG272" s="22"/>
      <c r="BH272" s="10"/>
      <c r="BI272" s="16"/>
      <c r="BJ272" s="16"/>
      <c r="BK272" s="16"/>
      <c r="BL272" s="16"/>
      <c r="BM272" s="10"/>
      <c r="BN272" s="16"/>
      <c r="BO272" s="16"/>
      <c r="BP272" s="16"/>
      <c r="BQ272" s="10">
        <v>1.55E-2</v>
      </c>
      <c r="BR272" s="17"/>
      <c r="BS272" s="23"/>
      <c r="BT272" s="23"/>
      <c r="BU272" s="24"/>
      <c r="BV272" s="10">
        <v>2.12E-2</v>
      </c>
      <c r="BW272" s="16"/>
      <c r="BX272" s="23"/>
      <c r="BY272" s="23"/>
      <c r="BZ272" s="23"/>
      <c r="CA272" s="23"/>
      <c r="CB272" s="23"/>
      <c r="CC272" s="23"/>
      <c r="CD272" s="23"/>
      <c r="CE272" s="23"/>
      <c r="CG272" s="23"/>
      <c r="CH272" s="56"/>
      <c r="CI272" s="16"/>
      <c r="CJ272" s="23"/>
      <c r="CK272" s="23"/>
      <c r="CL272" s="24"/>
      <c r="CM272" s="10"/>
      <c r="CN272" s="16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</row>
    <row r="273" spans="1:103" x14ac:dyDescent="0.2">
      <c r="A273" s="3" t="s">
        <v>7</v>
      </c>
      <c r="B273" s="39">
        <v>488</v>
      </c>
      <c r="C273" s="82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O273" s="21"/>
      <c r="P273" s="22"/>
      <c r="Q273" s="21"/>
      <c r="R273" s="21"/>
      <c r="S273" s="21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3"/>
      <c r="AJ273" s="23"/>
      <c r="AK273" s="23"/>
      <c r="AL273" s="22"/>
      <c r="AM273" s="22"/>
      <c r="AN273" s="22"/>
      <c r="AO273" s="22"/>
      <c r="AP273" s="22"/>
      <c r="AQ273" s="22"/>
      <c r="AR273" s="23"/>
      <c r="AS273" s="22"/>
      <c r="AT273" s="22"/>
      <c r="AU273" s="24"/>
      <c r="AV273" s="23"/>
      <c r="AW273" s="25"/>
      <c r="AX273" s="10"/>
      <c r="AY273" s="23"/>
      <c r="AZ273" s="22"/>
      <c r="BA273" s="16"/>
      <c r="BB273" s="22"/>
      <c r="BC273" s="10"/>
      <c r="BD273" s="22"/>
      <c r="BE273" s="22"/>
      <c r="BF273" s="22"/>
      <c r="BG273" s="22"/>
      <c r="BH273" s="10"/>
      <c r="BI273" s="16"/>
      <c r="BJ273" s="16"/>
      <c r="BK273" s="16"/>
      <c r="BL273" s="16"/>
      <c r="BM273" s="10"/>
      <c r="BN273" s="16"/>
      <c r="BO273" s="16"/>
      <c r="BP273" s="16"/>
      <c r="BQ273" s="10">
        <v>3.5499999999999997E-2</v>
      </c>
      <c r="BR273" s="17"/>
      <c r="BS273" s="23"/>
      <c r="BT273" s="23"/>
      <c r="BU273" s="24"/>
      <c r="BV273" s="10">
        <v>4.4600000000000001E-2</v>
      </c>
      <c r="BW273" s="16"/>
      <c r="BX273" s="23"/>
      <c r="BY273" s="23"/>
      <c r="BZ273" s="23"/>
      <c r="CA273" s="23"/>
      <c r="CB273" s="23"/>
      <c r="CC273" s="23"/>
      <c r="CD273" s="23"/>
      <c r="CE273" s="23"/>
      <c r="CG273" s="23"/>
      <c r="CH273" s="56"/>
      <c r="CI273" s="10"/>
      <c r="CJ273" s="23"/>
      <c r="CK273" s="23"/>
      <c r="CL273" s="24"/>
      <c r="CM273" s="10"/>
      <c r="CN273" s="16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</row>
    <row r="274" spans="1:103" x14ac:dyDescent="0.2">
      <c r="A274" s="3" t="s">
        <v>7</v>
      </c>
      <c r="B274" s="39">
        <v>489</v>
      </c>
      <c r="C274" s="82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O274" s="21"/>
      <c r="P274" s="22"/>
      <c r="Q274" s="21"/>
      <c r="R274" s="21"/>
      <c r="S274" s="21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3"/>
      <c r="AJ274" s="23"/>
      <c r="AK274" s="23"/>
      <c r="AL274" s="22"/>
      <c r="AM274" s="22"/>
      <c r="AN274" s="22"/>
      <c r="AO274" s="22"/>
      <c r="AP274" s="22"/>
      <c r="AQ274" s="22"/>
      <c r="AR274" s="23"/>
      <c r="AS274" s="22"/>
      <c r="AT274" s="22"/>
      <c r="AU274" s="24"/>
      <c r="AV274" s="23"/>
      <c r="AW274" s="25"/>
      <c r="AX274" s="10"/>
      <c r="AY274" s="23"/>
      <c r="AZ274" s="22"/>
      <c r="BA274" s="16"/>
      <c r="BB274" s="22"/>
      <c r="BC274" s="10"/>
      <c r="BD274" s="22"/>
      <c r="BE274" s="22"/>
      <c r="BF274" s="16"/>
      <c r="BG274" s="22"/>
      <c r="BH274" s="10"/>
      <c r="BI274" s="16"/>
      <c r="BJ274" s="16"/>
      <c r="BK274" s="16"/>
      <c r="BL274" s="16"/>
      <c r="BM274" s="10"/>
      <c r="BN274" s="16"/>
      <c r="BO274" s="16">
        <v>1.9386013463303083E-3</v>
      </c>
      <c r="BP274" s="23"/>
      <c r="BQ274" s="10">
        <v>1.9651654255061859E-3</v>
      </c>
      <c r="BS274" s="16">
        <v>1.9844743239592444E-3</v>
      </c>
      <c r="BT274" s="23"/>
      <c r="BU274" s="16">
        <v>2.028221836577544E-3</v>
      </c>
      <c r="BV274" s="23"/>
      <c r="BW274" s="16">
        <v>2.0872145203866565E-3</v>
      </c>
      <c r="BX274" s="23"/>
      <c r="BY274" s="16">
        <v>2.1351767636372614E-3</v>
      </c>
      <c r="BZ274" s="23"/>
      <c r="CA274" s="16">
        <v>2.1625315267474834E-3</v>
      </c>
      <c r="CB274" s="23"/>
      <c r="CC274" s="16">
        <v>2.2222006744852599E-3</v>
      </c>
      <c r="CD274" s="23"/>
      <c r="CE274" s="23"/>
      <c r="CG274" s="23"/>
      <c r="CH274" s="56"/>
      <c r="CI274" s="10"/>
      <c r="CJ274" s="23"/>
      <c r="CK274" s="23"/>
      <c r="CL274" s="24"/>
      <c r="CM274" s="10"/>
      <c r="CN274" s="16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</row>
    <row r="275" spans="1:103" x14ac:dyDescent="0.2">
      <c r="A275" s="3" t="s">
        <v>7</v>
      </c>
      <c r="B275" s="41" t="s">
        <v>39</v>
      </c>
      <c r="C275" s="84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O275" s="21"/>
      <c r="P275" s="22"/>
      <c r="Q275" s="21"/>
      <c r="R275" s="21"/>
      <c r="S275" s="21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3"/>
      <c r="AJ275" s="23"/>
      <c r="AK275" s="23"/>
      <c r="AL275" s="22"/>
      <c r="AM275" s="22"/>
      <c r="AN275" s="22"/>
      <c r="AO275" s="22"/>
      <c r="AP275" s="22"/>
      <c r="AQ275" s="22"/>
      <c r="AR275" s="23"/>
      <c r="AS275" s="22"/>
      <c r="AT275" s="22"/>
      <c r="AU275" s="24"/>
      <c r="AV275" s="23"/>
      <c r="AW275" s="25"/>
      <c r="AX275" s="10"/>
      <c r="AY275" s="23"/>
      <c r="AZ275" s="22"/>
      <c r="BA275" s="16"/>
      <c r="BB275" s="22"/>
      <c r="BC275" s="10"/>
      <c r="BD275" s="22"/>
      <c r="BE275" s="22"/>
      <c r="BF275" s="16"/>
      <c r="BG275" s="22"/>
      <c r="BH275" s="10"/>
      <c r="BI275" s="16"/>
      <c r="BJ275" s="16"/>
      <c r="BK275" s="16"/>
      <c r="BL275" s="16"/>
      <c r="BM275" s="10"/>
      <c r="BN275" s="16"/>
      <c r="BO275" s="16"/>
      <c r="BP275" s="23"/>
      <c r="BQ275" s="17"/>
      <c r="BS275" s="16"/>
      <c r="BT275" s="16">
        <f>1628.2/100000</f>
        <v>1.6282000000000001E-2</v>
      </c>
      <c r="BU275" s="16">
        <f>1925.9/100000</f>
        <v>1.9259000000000002E-2</v>
      </c>
      <c r="BV275" s="16">
        <f>2189.6/100000</f>
        <v>2.1895999999999999E-2</v>
      </c>
      <c r="BW275" s="16">
        <f>2452.8/100000</f>
        <v>2.4528000000000001E-2</v>
      </c>
      <c r="BX275" s="16">
        <f>2709.8/100000</f>
        <v>2.7098000000000001E-2</v>
      </c>
      <c r="BY275" s="16">
        <f>2885.8/100000</f>
        <v>2.8858000000000002E-2</v>
      </c>
      <c r="BZ275" s="16">
        <f>3162.8/100000</f>
        <v>3.1628000000000003E-2</v>
      </c>
      <c r="CA275" s="16">
        <f>3404.01/100000</f>
        <v>3.4040100000000004E-2</v>
      </c>
      <c r="CB275" s="16">
        <f>3645.1/100000</f>
        <v>3.6450999999999997E-2</v>
      </c>
      <c r="CC275" s="16">
        <f>3909.3/100000</f>
        <v>3.9093000000000003E-2</v>
      </c>
      <c r="CD275" s="16">
        <f>4183.1/100000</f>
        <v>4.1831000000000007E-2</v>
      </c>
      <c r="CE275" s="16">
        <f>4433.9/100000</f>
        <v>4.4338999999999996E-2</v>
      </c>
      <c r="CG275" s="23"/>
      <c r="CH275" s="56"/>
      <c r="CI275" s="23"/>
      <c r="CJ275" s="16"/>
      <c r="CK275" s="23"/>
      <c r="CL275" s="16"/>
      <c r="CM275" s="23"/>
      <c r="CN275" s="16"/>
      <c r="CO275" s="23"/>
      <c r="CP275" s="16"/>
      <c r="CQ275" s="23"/>
      <c r="CR275" s="16"/>
      <c r="CS275" s="23"/>
      <c r="CT275" s="16"/>
      <c r="CU275" s="23"/>
      <c r="CV275" s="23"/>
      <c r="CW275" s="23"/>
      <c r="CX275" s="23"/>
      <c r="CY275" s="23"/>
    </row>
    <row r="276" spans="1:103" x14ac:dyDescent="0.2">
      <c r="A276" s="3" t="s">
        <v>7</v>
      </c>
      <c r="B276" s="39">
        <v>502</v>
      </c>
      <c r="C276" s="82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O276" s="21"/>
      <c r="P276" s="22"/>
      <c r="Q276" s="21"/>
      <c r="R276" s="21"/>
      <c r="S276" s="21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3"/>
      <c r="AJ276" s="23"/>
      <c r="AK276" s="23"/>
      <c r="AL276" s="22"/>
      <c r="AM276" s="22"/>
      <c r="AN276" s="22"/>
      <c r="AO276" s="22"/>
      <c r="AP276" s="22"/>
      <c r="AQ276" s="22"/>
      <c r="AR276" s="23"/>
      <c r="AS276" s="22"/>
      <c r="AT276" s="22"/>
      <c r="AU276" s="24"/>
      <c r="AV276" s="23"/>
      <c r="AW276" s="25"/>
      <c r="AX276" s="10"/>
      <c r="AY276" s="23"/>
      <c r="AZ276" s="22"/>
      <c r="BA276" s="16"/>
      <c r="BB276" s="22"/>
      <c r="BC276" s="10"/>
      <c r="BD276" s="22"/>
      <c r="BE276" s="22"/>
      <c r="BF276" s="16"/>
      <c r="BG276" s="22"/>
      <c r="BH276" s="10"/>
      <c r="BI276" s="16"/>
      <c r="BJ276" s="16"/>
      <c r="BK276" s="16"/>
      <c r="BL276" s="16">
        <f>21.3/10000</f>
        <v>2.1299999999999999E-3</v>
      </c>
      <c r="BM276" s="23"/>
      <c r="BN276" s="23"/>
      <c r="BO276" s="16"/>
      <c r="BP276" s="16">
        <f>27.7/10000</f>
        <v>2.7699999999999999E-3</v>
      </c>
      <c r="BQ276" s="4"/>
      <c r="BS276" s="16"/>
      <c r="BT276" s="16"/>
      <c r="BU276" s="16">
        <f>39.2/10000</f>
        <v>3.9199999999999999E-3</v>
      </c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G276" s="23"/>
      <c r="CH276" s="56"/>
      <c r="CI276" s="23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23"/>
      <c r="CX276" s="23"/>
      <c r="CY276" s="23"/>
    </row>
    <row r="277" spans="1:103" x14ac:dyDescent="0.2">
      <c r="A277" s="3" t="s">
        <v>7</v>
      </c>
      <c r="B277" s="39">
        <v>502</v>
      </c>
      <c r="C277" s="82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O277" s="21"/>
      <c r="P277" s="22"/>
      <c r="Q277" s="21"/>
      <c r="R277" s="21"/>
      <c r="S277" s="21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3"/>
      <c r="AJ277" s="23"/>
      <c r="AK277" s="23"/>
      <c r="AL277" s="22"/>
      <c r="AM277" s="22"/>
      <c r="AN277" s="22"/>
      <c r="AO277" s="22"/>
      <c r="AP277" s="22"/>
      <c r="AQ277" s="22"/>
      <c r="AR277" s="23"/>
      <c r="AS277" s="22"/>
      <c r="AT277" s="22"/>
      <c r="AU277" s="24"/>
      <c r="AV277" s="23"/>
      <c r="AW277" s="25"/>
      <c r="AX277" s="10"/>
      <c r="AY277" s="23"/>
      <c r="AZ277" s="22"/>
      <c r="BA277" s="16"/>
      <c r="BB277" s="22"/>
      <c r="BC277" s="10"/>
      <c r="BD277" s="22"/>
      <c r="BE277" s="22"/>
      <c r="BF277" s="16"/>
      <c r="BG277" s="22"/>
      <c r="BH277" s="10"/>
      <c r="BI277" s="16"/>
      <c r="BJ277" s="16"/>
      <c r="BK277" s="16"/>
      <c r="BL277" s="16">
        <f>26.9/10000</f>
        <v>2.6899999999999997E-3</v>
      </c>
      <c r="BM277" s="23"/>
      <c r="BN277" s="23"/>
      <c r="BO277" s="16"/>
      <c r="BP277" s="16">
        <f>35.4/10000</f>
        <v>3.5399999999999997E-3</v>
      </c>
      <c r="BQ277" s="4"/>
      <c r="BS277" s="16"/>
      <c r="BT277" s="16"/>
      <c r="BU277" s="16">
        <f>52.9/10000</f>
        <v>5.2899999999999996E-3</v>
      </c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G277" s="23"/>
      <c r="CH277" s="56"/>
      <c r="CI277" s="23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23"/>
      <c r="CX277" s="23"/>
      <c r="CY277" s="23"/>
    </row>
    <row r="278" spans="1:103" s="46" customFormat="1" x14ac:dyDescent="0.2">
      <c r="A278" s="38" t="s">
        <v>7</v>
      </c>
      <c r="B278" s="40">
        <v>503</v>
      </c>
      <c r="C278" s="83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O278" s="57"/>
      <c r="P278" s="58"/>
      <c r="Q278" s="57"/>
      <c r="R278" s="57"/>
      <c r="S278" s="57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9"/>
      <c r="AJ278" s="59"/>
      <c r="AK278" s="59"/>
      <c r="AL278" s="58"/>
      <c r="AM278" s="58"/>
      <c r="AN278" s="58"/>
      <c r="AO278" s="58"/>
      <c r="AP278" s="58"/>
      <c r="AQ278" s="58"/>
      <c r="AR278" s="59"/>
      <c r="AS278" s="58"/>
      <c r="AT278" s="58"/>
      <c r="AU278" s="60"/>
      <c r="AV278" s="59"/>
      <c r="AW278" s="61"/>
      <c r="AX278" s="62"/>
      <c r="AY278" s="59"/>
      <c r="AZ278" s="58"/>
      <c r="BA278" s="63"/>
      <c r="BB278" s="58"/>
      <c r="BC278" s="62"/>
      <c r="BD278" s="58"/>
      <c r="BE278" s="58"/>
      <c r="BF278" s="63"/>
      <c r="BG278" s="58"/>
      <c r="BH278" s="62"/>
      <c r="BI278" s="63"/>
      <c r="BJ278" s="63"/>
      <c r="BK278" s="63"/>
      <c r="BL278" s="63"/>
      <c r="BM278" s="59"/>
      <c r="BN278" s="59"/>
      <c r="BO278" s="63"/>
      <c r="BP278" s="63"/>
      <c r="BQ278" s="50"/>
      <c r="BR278" s="50"/>
      <c r="BS278" s="63"/>
      <c r="BT278" s="63"/>
      <c r="BU278" s="62">
        <f>3615/100000</f>
        <v>3.6150000000000002E-2</v>
      </c>
      <c r="BV278" s="63"/>
      <c r="BW278" s="63"/>
      <c r="BX278" s="63"/>
      <c r="BY278" s="63"/>
      <c r="BZ278" s="63"/>
      <c r="CA278" s="63"/>
      <c r="CB278" s="63"/>
      <c r="CC278" s="63"/>
      <c r="CD278" s="63"/>
      <c r="CE278" s="62">
        <f>4961/100000</f>
        <v>4.9610000000000001E-2</v>
      </c>
      <c r="CG278" s="59"/>
      <c r="CH278" s="64"/>
      <c r="CI278" s="59"/>
      <c r="CJ278" s="63"/>
      <c r="CK278" s="63"/>
      <c r="CL278" s="63"/>
      <c r="CM278" s="63"/>
      <c r="CN278" s="63"/>
      <c r="CO278" s="63"/>
      <c r="CP278" s="63"/>
      <c r="CQ278" s="63"/>
      <c r="CR278" s="63"/>
      <c r="CS278" s="63"/>
      <c r="CT278" s="63"/>
      <c r="CU278" s="63"/>
      <c r="CV278" s="63"/>
      <c r="CW278" s="59"/>
      <c r="CX278" s="59"/>
      <c r="CY278" s="59"/>
    </row>
    <row r="279" spans="1:103" x14ac:dyDescent="0.2">
      <c r="A279" s="3" t="s">
        <v>14</v>
      </c>
      <c r="B279" s="39">
        <v>504</v>
      </c>
      <c r="C279" s="82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AQ279" s="5">
        <v>1.0500000000000001E-2</v>
      </c>
      <c r="BL279" s="5">
        <v>1.9900000000000001E-2</v>
      </c>
      <c r="BR279"/>
      <c r="BS279"/>
      <c r="CH279" s="44"/>
    </row>
    <row r="280" spans="1:103" x14ac:dyDescent="0.2">
      <c r="A280" s="3" t="s">
        <v>14</v>
      </c>
      <c r="B280" s="39">
        <v>505</v>
      </c>
      <c r="C280" s="82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BR280"/>
      <c r="BS280"/>
      <c r="BV280" s="10">
        <v>1.5120000000000001E-3</v>
      </c>
      <c r="CA280" s="10">
        <v>3.4640000000000001E-3</v>
      </c>
      <c r="CH280" s="44"/>
    </row>
    <row r="281" spans="1:103" x14ac:dyDescent="0.2">
      <c r="A281" s="3" t="s">
        <v>14</v>
      </c>
      <c r="B281" s="39">
        <v>506</v>
      </c>
      <c r="C281" s="82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BF281" s="5">
        <v>8.8000000000000005E-3</v>
      </c>
      <c r="BR281"/>
      <c r="BS281"/>
      <c r="CA281" s="5">
        <v>1.2500000000000001E-2</v>
      </c>
      <c r="CH281" s="44"/>
    </row>
    <row r="282" spans="1:103" x14ac:dyDescent="0.2">
      <c r="A282" s="3" t="s">
        <v>14</v>
      </c>
      <c r="B282" s="39">
        <v>507</v>
      </c>
      <c r="C282" s="82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BB282" s="10">
        <f>18.3/100000</f>
        <v>1.83E-4</v>
      </c>
      <c r="BL282" s="10">
        <f>44.1/100000</f>
        <v>4.4100000000000004E-4</v>
      </c>
      <c r="BR282"/>
      <c r="BS282"/>
      <c r="CH282" s="44"/>
    </row>
    <row r="283" spans="1:103" x14ac:dyDescent="0.2">
      <c r="A283" s="3" t="s">
        <v>14</v>
      </c>
      <c r="B283" s="39">
        <v>508</v>
      </c>
      <c r="C283" s="82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AF283" s="1"/>
      <c r="AG283" s="1"/>
      <c r="AH283" s="1"/>
      <c r="AI283" s="1"/>
      <c r="AJ283" s="1"/>
      <c r="AK283" s="5">
        <v>2.0999999999999999E-3</v>
      </c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5">
        <v>4.4999999999999997E-3</v>
      </c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4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65"/>
    </row>
    <row r="284" spans="1:103" x14ac:dyDescent="0.2">
      <c r="A284" s="3" t="s">
        <v>14</v>
      </c>
      <c r="B284" s="39">
        <v>509</v>
      </c>
      <c r="C284" s="82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BE284" s="5">
        <v>1.6999999999999999E-3</v>
      </c>
      <c r="BO284" s="5">
        <v>3.0000000000000001E-3</v>
      </c>
      <c r="BR284"/>
      <c r="BS284"/>
      <c r="BW284" s="5">
        <v>4.4000000000000003E-3</v>
      </c>
      <c r="CH284" s="44"/>
    </row>
    <row r="285" spans="1:103" x14ac:dyDescent="0.2">
      <c r="A285" s="3" t="s">
        <v>14</v>
      </c>
      <c r="B285" s="39">
        <v>510</v>
      </c>
      <c r="C285" s="82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4"/>
      <c r="BQ285" s="1"/>
      <c r="BR285" s="1"/>
      <c r="BS285" s="1"/>
      <c r="BT285" s="1"/>
      <c r="BU285" s="5">
        <v>7.0000000000000001E-3</v>
      </c>
      <c r="BW285" s="5">
        <v>7.7000000000000002E-3</v>
      </c>
      <c r="BX285" s="1"/>
      <c r="BY285" s="5">
        <v>5.7999999999999996E-3</v>
      </c>
      <c r="BZ285" s="1"/>
      <c r="CA285" s="1"/>
      <c r="CB285" s="1"/>
      <c r="CC285" s="1"/>
      <c r="CD285" s="1"/>
      <c r="CE285" s="1"/>
      <c r="CF285" s="1"/>
      <c r="CG285" s="1"/>
      <c r="CH285" s="65"/>
    </row>
    <row r="286" spans="1:103" s="46" customFormat="1" x14ac:dyDescent="0.2">
      <c r="A286" s="38" t="s">
        <v>14</v>
      </c>
      <c r="B286" s="40">
        <v>511</v>
      </c>
      <c r="C286" s="83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62">
        <f>3.1/100000</f>
        <v>3.1000000000000001E-5</v>
      </c>
      <c r="BM286" s="53"/>
      <c r="BN286" s="53"/>
      <c r="BO286" s="53"/>
      <c r="BP286" s="66"/>
      <c r="BQ286" s="53"/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  <c r="CD286" s="53"/>
      <c r="CE286" s="53"/>
      <c r="CF286" s="62">
        <f>57.4/100000</f>
        <v>5.7399999999999997E-4</v>
      </c>
      <c r="CG286" s="53"/>
      <c r="CH286" s="55"/>
    </row>
    <row r="287" spans="1:103" x14ac:dyDescent="0.2">
      <c r="A287" s="3" t="s">
        <v>15</v>
      </c>
      <c r="B287" s="39">
        <v>512</v>
      </c>
      <c r="C287" s="82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BR287"/>
      <c r="BS287"/>
      <c r="BU287" s="5">
        <v>0.04</v>
      </c>
      <c r="CD287" s="5">
        <v>4.1000000000000002E-2</v>
      </c>
      <c r="CH287" s="44"/>
    </row>
    <row r="288" spans="1:103" x14ac:dyDescent="0.2">
      <c r="A288" s="3" t="s">
        <v>15</v>
      </c>
      <c r="B288" s="39">
        <v>513</v>
      </c>
      <c r="C288" s="82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BR288"/>
      <c r="BS288"/>
      <c r="BU288" s="5"/>
      <c r="BV288" s="9">
        <v>2.5999999999999999E-2</v>
      </c>
      <c r="CB288" s="9">
        <v>7.0000000000000001E-3</v>
      </c>
      <c r="CD288" s="5"/>
      <c r="CH288" s="44"/>
    </row>
    <row r="289" spans="1:86" x14ac:dyDescent="0.2">
      <c r="A289" s="3" t="s">
        <v>15</v>
      </c>
      <c r="B289" s="39">
        <v>514</v>
      </c>
      <c r="C289" s="82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BR289"/>
      <c r="BS289"/>
      <c r="BT289" s="9">
        <v>2.7E-2</v>
      </c>
      <c r="BV289" s="9"/>
      <c r="BX289" s="9">
        <v>2.5000000000000001E-2</v>
      </c>
      <c r="CB289" s="9"/>
      <c r="CD289" s="5"/>
      <c r="CH289" s="44"/>
    </row>
    <row r="290" spans="1:86" x14ac:dyDescent="0.2">
      <c r="A290" s="3" t="s">
        <v>15</v>
      </c>
      <c r="B290" s="39">
        <v>512</v>
      </c>
      <c r="C290" s="82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BR290"/>
      <c r="BS290"/>
      <c r="BU290" s="5">
        <v>1.7999999999999999E-2</v>
      </c>
      <c r="CD290" s="5">
        <v>1.6E-2</v>
      </c>
      <c r="CH290" s="44"/>
    </row>
    <row r="291" spans="1:86" x14ac:dyDescent="0.2">
      <c r="A291" s="3" t="s">
        <v>15</v>
      </c>
      <c r="B291" s="39">
        <v>513</v>
      </c>
      <c r="C291" s="82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BR291"/>
      <c r="BS291"/>
      <c r="BU291" s="5"/>
      <c r="BV291" s="9">
        <v>8.9999999999999993E-3</v>
      </c>
      <c r="CB291" s="9">
        <v>6.0000000000000001E-3</v>
      </c>
      <c r="CD291" s="5"/>
      <c r="CH291" s="44"/>
    </row>
    <row r="292" spans="1:86" x14ac:dyDescent="0.2">
      <c r="A292" s="3" t="s">
        <v>15</v>
      </c>
      <c r="B292" s="39">
        <v>514</v>
      </c>
      <c r="C292" s="82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BR292"/>
      <c r="BS292"/>
      <c r="BU292" s="9">
        <v>1.0999999999999999E-2</v>
      </c>
      <c r="BX292" s="9">
        <v>1.4999999999999999E-2</v>
      </c>
      <c r="CB292" s="9"/>
      <c r="CD292" s="5"/>
      <c r="CH292" s="44"/>
    </row>
    <row r="293" spans="1:86" x14ac:dyDescent="0.2">
      <c r="A293" s="3" t="s">
        <v>15</v>
      </c>
      <c r="B293" s="39">
        <v>515</v>
      </c>
      <c r="C293" s="82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AZ293" s="5">
        <v>5.0000000000000001E-3</v>
      </c>
      <c r="BH293" s="5">
        <v>0.01</v>
      </c>
      <c r="BR293"/>
      <c r="BS293"/>
      <c r="CH293" s="44"/>
    </row>
    <row r="294" spans="1:86" x14ac:dyDescent="0.2">
      <c r="A294" s="3" t="s">
        <v>15</v>
      </c>
      <c r="B294" s="39">
        <v>516</v>
      </c>
      <c r="C294" s="82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AZ294" s="5"/>
      <c r="BH294" s="5">
        <v>7.0000000000000001E-3</v>
      </c>
      <c r="BM294" s="5">
        <v>6.0000000000000001E-3</v>
      </c>
      <c r="BR294"/>
      <c r="BS294" s="5">
        <v>6.0000000000000001E-3</v>
      </c>
      <c r="CH294" s="44"/>
    </row>
    <row r="295" spans="1:86" x14ac:dyDescent="0.2">
      <c r="A295" s="3" t="s">
        <v>15</v>
      </c>
      <c r="B295" s="39">
        <v>516</v>
      </c>
      <c r="C295" s="82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BG295" s="1"/>
      <c r="BH295" s="5">
        <v>4.0000000000000001E-3</v>
      </c>
      <c r="BI295" s="1"/>
      <c r="BM295" s="5">
        <v>8.0000000000000002E-3</v>
      </c>
      <c r="BR295"/>
      <c r="BS295" s="5">
        <v>1.4E-2</v>
      </c>
      <c r="CH295" s="44"/>
    </row>
    <row r="296" spans="1:86" x14ac:dyDescent="0.2">
      <c r="A296" s="3" t="s">
        <v>15</v>
      </c>
      <c r="B296" s="39">
        <v>517</v>
      </c>
      <c r="C296" s="82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BA296" s="1"/>
      <c r="BB296" s="1"/>
      <c r="BC296" s="1"/>
      <c r="BG296" s="1"/>
      <c r="BM296" s="5">
        <v>1.34E-2</v>
      </c>
      <c r="BR296" s="5">
        <v>1.83E-2</v>
      </c>
      <c r="BS296"/>
      <c r="CH296" s="44"/>
    </row>
    <row r="297" spans="1:86" x14ac:dyDescent="0.2">
      <c r="A297" s="3" t="s">
        <v>15</v>
      </c>
      <c r="B297" s="39">
        <v>518</v>
      </c>
      <c r="C297" s="82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BA297" s="1"/>
      <c r="BC297" s="1"/>
      <c r="BD297" s="1"/>
      <c r="BE297" s="1"/>
      <c r="BI297" s="1"/>
      <c r="BJ297" s="1"/>
      <c r="BK297" s="1"/>
      <c r="BL297" s="5">
        <v>2.3999999999999998E-3</v>
      </c>
      <c r="BM297" s="5">
        <v>3.2000000000000002E-3</v>
      </c>
      <c r="BN297" s="5">
        <v>3.8999999999999998E-3</v>
      </c>
      <c r="BO297" s="5">
        <v>4.4999999999999997E-3</v>
      </c>
      <c r="BP297" s="5">
        <v>5.1000000000000004E-3</v>
      </c>
      <c r="BR297"/>
      <c r="BS297"/>
      <c r="CH297" s="44"/>
    </row>
    <row r="298" spans="1:86" x14ac:dyDescent="0.2">
      <c r="A298" s="3" t="s">
        <v>15</v>
      </c>
      <c r="B298" s="39">
        <v>519</v>
      </c>
      <c r="C298" s="82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BD298" s="1"/>
      <c r="BE298" s="1"/>
      <c r="BF298" s="1"/>
      <c r="BI298" s="1"/>
      <c r="BJ298" s="1"/>
      <c r="BK298" s="1"/>
      <c r="BL298" s="1"/>
      <c r="BM298" s="1"/>
      <c r="BN298" s="1"/>
      <c r="BP298"/>
      <c r="BR298"/>
      <c r="BS298"/>
      <c r="BV298" s="5">
        <v>3.1E-2</v>
      </c>
      <c r="CD298" s="5">
        <v>3.1E-2</v>
      </c>
      <c r="CH298" s="44"/>
    </row>
    <row r="299" spans="1:86" x14ac:dyDescent="0.2">
      <c r="A299" s="3" t="s">
        <v>15</v>
      </c>
      <c r="B299" s="39">
        <v>513</v>
      </c>
      <c r="C299" s="82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BD299" s="1"/>
      <c r="BE299" s="1"/>
      <c r="BF299" s="1"/>
      <c r="BI299" s="1"/>
      <c r="BJ299" s="1"/>
      <c r="BK299" s="1"/>
      <c r="BL299" s="1"/>
      <c r="BM299" s="1"/>
      <c r="BN299" s="1"/>
      <c r="BP299"/>
      <c r="BR299"/>
      <c r="BS299"/>
      <c r="BV299" s="5">
        <v>1.4E-2</v>
      </c>
      <c r="CB299" s="5">
        <v>0.01</v>
      </c>
      <c r="CD299" s="5"/>
      <c r="CH299" s="44"/>
    </row>
    <row r="300" spans="1:86" x14ac:dyDescent="0.2">
      <c r="A300" s="3" t="s">
        <v>15</v>
      </c>
      <c r="B300" s="39">
        <v>514</v>
      </c>
      <c r="C300" s="82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BD300" s="1"/>
      <c r="BE300" s="1"/>
      <c r="BF300" s="1"/>
      <c r="BI300" s="1"/>
      <c r="BJ300" s="1"/>
      <c r="BK300" s="9">
        <v>1.84E-2</v>
      </c>
      <c r="BP300"/>
      <c r="BR300"/>
      <c r="BS300"/>
      <c r="BV300" s="5"/>
      <c r="BW300" s="9">
        <v>2.4E-2</v>
      </c>
      <c r="CB300" s="5"/>
      <c r="CD300" s="5"/>
      <c r="CH300" s="44"/>
    </row>
    <row r="301" spans="1:86" x14ac:dyDescent="0.2">
      <c r="A301" s="3" t="s">
        <v>15</v>
      </c>
      <c r="B301" s="39">
        <v>512</v>
      </c>
      <c r="C301" s="82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BD301" s="1"/>
      <c r="BL301" s="1"/>
      <c r="BM301" s="1"/>
      <c r="BN301" s="1"/>
      <c r="BO301" s="1"/>
      <c r="BP301" s="1"/>
      <c r="BQ301" s="1"/>
      <c r="BR301"/>
      <c r="BS301"/>
      <c r="BU301" s="5">
        <v>0.04</v>
      </c>
      <c r="CD301" s="5">
        <v>3.5999999999999997E-2</v>
      </c>
      <c r="CH301" s="44"/>
    </row>
    <row r="302" spans="1:86" x14ac:dyDescent="0.2">
      <c r="A302" s="3" t="s">
        <v>15</v>
      </c>
      <c r="B302" s="39">
        <v>513</v>
      </c>
      <c r="C302" s="82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BD302" s="1"/>
      <c r="BL302" s="1"/>
      <c r="BM302" s="1"/>
      <c r="BN302" s="1"/>
      <c r="BO302" s="1"/>
      <c r="BP302" s="1"/>
      <c r="BQ302" s="1"/>
      <c r="BR302"/>
      <c r="BS302"/>
      <c r="BU302" s="5"/>
      <c r="BV302" s="5">
        <v>1.9E-2</v>
      </c>
      <c r="CB302" s="5">
        <v>1.7999999999999999E-2</v>
      </c>
      <c r="CD302" s="5"/>
      <c r="CH302" s="44"/>
    </row>
    <row r="303" spans="1:86" x14ac:dyDescent="0.2">
      <c r="A303" s="3" t="s">
        <v>15</v>
      </c>
      <c r="B303" s="39">
        <v>515</v>
      </c>
      <c r="C303" s="82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BF303" s="5">
        <v>4.2000000000000003E-2</v>
      </c>
      <c r="BK303" s="5">
        <v>4.7E-2</v>
      </c>
      <c r="BL303" s="1"/>
      <c r="BO303" s="1"/>
      <c r="BP303" s="1"/>
      <c r="BQ303" s="1"/>
      <c r="BR303"/>
      <c r="BS303"/>
      <c r="CH303" s="44"/>
    </row>
    <row r="304" spans="1:86" x14ac:dyDescent="0.2">
      <c r="A304" s="3" t="s">
        <v>15</v>
      </c>
      <c r="B304" s="39">
        <v>515</v>
      </c>
      <c r="C304" s="82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BF304" s="5">
        <v>3.7999999999999999E-2</v>
      </c>
      <c r="BK304" s="5">
        <v>5.0999999999999997E-2</v>
      </c>
      <c r="BO304" s="1"/>
      <c r="BP304" s="1"/>
      <c r="BQ304" s="1"/>
      <c r="BR304"/>
      <c r="BS304"/>
      <c r="CH304" s="44"/>
    </row>
    <row r="305" spans="1:86" x14ac:dyDescent="0.2">
      <c r="A305" s="3" t="s">
        <v>15</v>
      </c>
      <c r="B305" s="39">
        <v>79</v>
      </c>
      <c r="C305" s="82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BE305" s="1"/>
      <c r="BF305" s="1"/>
      <c r="BG305" s="1"/>
      <c r="BH305" s="5">
        <v>3.3000000000000002E-2</v>
      </c>
      <c r="BJ305" s="5">
        <v>3.2000000000000001E-2</v>
      </c>
      <c r="BL305" s="5">
        <v>3.5000000000000003E-2</v>
      </c>
      <c r="BN305" s="5">
        <v>3.5999999999999997E-2</v>
      </c>
      <c r="BO305" s="1"/>
      <c r="BP305" s="5">
        <v>0.04</v>
      </c>
      <c r="BR305" s="5">
        <v>3.9E-2</v>
      </c>
      <c r="BS305"/>
      <c r="CH305" s="44"/>
    </row>
    <row r="306" spans="1:86" x14ac:dyDescent="0.2">
      <c r="A306" s="3" t="s">
        <v>15</v>
      </c>
      <c r="B306" s="39">
        <v>512</v>
      </c>
      <c r="C306" s="82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BE306" s="1"/>
      <c r="BP306"/>
      <c r="BR306"/>
      <c r="BS306"/>
      <c r="BT306" s="5">
        <v>0.13100000000000001</v>
      </c>
      <c r="CD306" s="5">
        <v>8.6999999999999994E-2</v>
      </c>
      <c r="CH306" s="44"/>
    </row>
    <row r="307" spans="1:86" x14ac:dyDescent="0.2">
      <c r="A307" s="3" t="s">
        <v>15</v>
      </c>
      <c r="B307" s="39">
        <v>520</v>
      </c>
      <c r="C307" s="82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BH307" s="5">
        <v>3.2899999999999999E-2</v>
      </c>
      <c r="BI307" s="5">
        <v>3.78E-2</v>
      </c>
      <c r="BJ307" s="5">
        <v>3.1699999999999999E-2</v>
      </c>
      <c r="BK307" s="5">
        <v>3.2899999999999999E-2</v>
      </c>
      <c r="BL307" s="5">
        <v>3.5400000000000001E-2</v>
      </c>
      <c r="BM307" s="5">
        <v>3.7900000000000003E-2</v>
      </c>
      <c r="BN307" s="5">
        <v>3.5700000000000003E-2</v>
      </c>
      <c r="BO307" s="5">
        <v>3.8199999999999998E-2</v>
      </c>
      <c r="BP307" s="5">
        <v>3.9800000000000002E-2</v>
      </c>
      <c r="BQ307" s="5">
        <v>4.3799999999999999E-2</v>
      </c>
      <c r="BR307" s="5">
        <v>3.95E-2</v>
      </c>
      <c r="BS307" s="5">
        <v>4.53E-2</v>
      </c>
      <c r="BT307" s="5">
        <v>5.2200000000000003E-2</v>
      </c>
      <c r="BU307" s="5">
        <v>4.6199999999999998E-2</v>
      </c>
      <c r="BV307" s="5">
        <v>5.5399999999999998E-2</v>
      </c>
      <c r="CH307" s="44"/>
    </row>
    <row r="308" spans="1:86" x14ac:dyDescent="0.2">
      <c r="A308" s="3" t="s">
        <v>15</v>
      </c>
      <c r="B308" s="39">
        <v>520</v>
      </c>
      <c r="C308" s="82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BL308" s="1"/>
      <c r="BM308" s="1"/>
      <c r="BN308" s="5">
        <v>3.5700000000000003E-2</v>
      </c>
      <c r="BP308" s="14"/>
      <c r="BR308" s="5">
        <v>4.8500000000000001E-2</v>
      </c>
      <c r="BS308"/>
      <c r="CH308" s="44"/>
    </row>
    <row r="309" spans="1:86" x14ac:dyDescent="0.2">
      <c r="A309" s="3" t="s">
        <v>15</v>
      </c>
      <c r="B309" s="39">
        <v>520</v>
      </c>
      <c r="C309" s="82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BC309" s="6"/>
      <c r="BD309" s="1"/>
      <c r="BE309" s="1"/>
      <c r="BF309" s="1"/>
      <c r="BG309" s="1"/>
      <c r="BH309" s="1"/>
      <c r="BI309" s="1"/>
      <c r="BJ309" s="5">
        <v>6.54E-2</v>
      </c>
      <c r="BK309" s="1"/>
      <c r="BL309" s="1"/>
      <c r="BM309" s="1"/>
      <c r="BN309" s="1"/>
      <c r="BO309" s="1"/>
      <c r="BP309" s="14"/>
      <c r="BQ309" s="1"/>
      <c r="BR309" s="1"/>
      <c r="BS309" s="5">
        <v>7.0099999999999996E-2</v>
      </c>
      <c r="BU309" s="5">
        <v>6.0499999999999998E-2</v>
      </c>
      <c r="CH309" s="44"/>
    </row>
    <row r="310" spans="1:86" x14ac:dyDescent="0.2">
      <c r="A310" s="3" t="s">
        <v>15</v>
      </c>
      <c r="B310" s="39">
        <v>513</v>
      </c>
      <c r="C310" s="82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BR310"/>
      <c r="BS310"/>
      <c r="BV310" s="9">
        <v>3.5000000000000003E-2</v>
      </c>
      <c r="CB310" s="9">
        <v>3.3000000000000002E-2</v>
      </c>
      <c r="CH310" s="44"/>
    </row>
    <row r="311" spans="1:86" x14ac:dyDescent="0.2">
      <c r="A311" s="3" t="s">
        <v>15</v>
      </c>
      <c r="B311" s="39">
        <v>514</v>
      </c>
      <c r="C311" s="82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BK311" s="5">
        <v>6.0000000000000001E-3</v>
      </c>
      <c r="BR311"/>
      <c r="BS311"/>
      <c r="BW311" s="10"/>
      <c r="BX311" s="10"/>
      <c r="BY311" s="10"/>
      <c r="BZ311" s="5">
        <v>1.2999999999999999E-2</v>
      </c>
      <c r="CA311" s="10"/>
      <c r="CB311" s="10"/>
      <c r="CH311" s="44"/>
    </row>
    <row r="312" spans="1:86" x14ac:dyDescent="0.2">
      <c r="A312" s="3" t="s">
        <v>15</v>
      </c>
      <c r="B312" s="39">
        <v>514</v>
      </c>
      <c r="C312" s="82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BC312" s="5">
        <v>5.0000000000000001E-3</v>
      </c>
      <c r="BL312" s="5">
        <v>2.9000000000000001E-2</v>
      </c>
      <c r="BO312" s="5">
        <v>2.5999999999999999E-2</v>
      </c>
      <c r="BR312"/>
      <c r="BS312"/>
      <c r="BW312" s="10"/>
      <c r="BX312" s="10"/>
      <c r="BY312" s="10"/>
      <c r="BZ312" s="10"/>
      <c r="CA312" s="10"/>
      <c r="CB312" s="10"/>
      <c r="CH312" s="44"/>
    </row>
    <row r="313" spans="1:86" x14ac:dyDescent="0.2">
      <c r="A313" s="3" t="s">
        <v>15</v>
      </c>
      <c r="B313" s="39">
        <v>514</v>
      </c>
      <c r="C313" s="82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BR313"/>
      <c r="BS313"/>
      <c r="BT313" s="5">
        <v>2.7E-2</v>
      </c>
      <c r="BW313" s="10"/>
      <c r="BX313" s="5">
        <v>2.5000000000000001E-2</v>
      </c>
      <c r="BY313" s="10"/>
      <c r="BZ313" s="10"/>
      <c r="CA313" s="10"/>
      <c r="CB313" s="10"/>
      <c r="CH313" s="44"/>
    </row>
    <row r="314" spans="1:86" s="46" customFormat="1" x14ac:dyDescent="0.2">
      <c r="A314" s="38" t="s">
        <v>15</v>
      </c>
      <c r="B314" s="40">
        <v>514</v>
      </c>
      <c r="C314" s="83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BK314" s="48">
        <v>4.3999999999999997E-2</v>
      </c>
      <c r="BP314" s="50"/>
      <c r="BW314" s="48">
        <v>2.7E-2</v>
      </c>
      <c r="BX314" s="62"/>
      <c r="BY314" s="62"/>
      <c r="BZ314" s="62"/>
      <c r="CA314" s="62"/>
      <c r="CB314" s="62"/>
      <c r="CH314" s="51"/>
    </row>
    <row r="315" spans="1:86" x14ac:dyDescent="0.2">
      <c r="A315" s="3" t="s">
        <v>16</v>
      </c>
      <c r="B315" s="39">
        <v>521</v>
      </c>
      <c r="C315" s="82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15"/>
      <c r="O315" s="16"/>
      <c r="P315" s="15"/>
      <c r="Q315" s="15"/>
      <c r="R315" s="15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L315" s="16"/>
      <c r="AM315" s="16"/>
      <c r="AN315" s="16"/>
      <c r="AO315" s="16"/>
      <c r="AP315" s="16"/>
      <c r="AQ315" s="16">
        <v>7.5200000000000003E-2</v>
      </c>
      <c r="AS315" s="17"/>
      <c r="AT315" s="16"/>
      <c r="AU315" s="5"/>
      <c r="AW315" s="18"/>
      <c r="BB315" s="16">
        <v>9.4100000000000003E-2</v>
      </c>
      <c r="BC315" s="19"/>
      <c r="BD315" s="18"/>
      <c r="BF315" s="16"/>
      <c r="BK315" s="20"/>
      <c r="BM315" s="19"/>
      <c r="BO315" s="16"/>
      <c r="BP315"/>
      <c r="BQ315" s="20"/>
      <c r="BR315"/>
      <c r="BS315"/>
      <c r="BU315" s="5"/>
      <c r="CH315" s="44"/>
    </row>
    <row r="316" spans="1:86" x14ac:dyDescent="0.2">
      <c r="A316" s="3" t="s">
        <v>16</v>
      </c>
      <c r="B316" s="39">
        <v>522</v>
      </c>
      <c r="C316" s="82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15"/>
      <c r="O316" s="16"/>
      <c r="P316" s="15"/>
      <c r="Q316" s="15"/>
      <c r="R316" s="15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L316" s="16">
        <v>0.24679999999999999</v>
      </c>
      <c r="AM316" s="16"/>
      <c r="AN316" s="16"/>
      <c r="AO316" s="16"/>
      <c r="AP316" s="16"/>
      <c r="AQ316" s="16"/>
      <c r="AS316" s="17"/>
      <c r="AT316" s="16"/>
      <c r="AU316" s="16">
        <v>0.29799999999999999</v>
      </c>
      <c r="AW316" s="18"/>
      <c r="BB316" s="16"/>
      <c r="BC316" s="19"/>
      <c r="BD316" s="18"/>
      <c r="BF316" s="16"/>
      <c r="BK316" s="20"/>
      <c r="BM316" s="19"/>
      <c r="BO316" s="16"/>
      <c r="BP316"/>
      <c r="BQ316" s="20"/>
      <c r="BR316"/>
      <c r="BS316"/>
      <c r="BU316" s="5"/>
      <c r="CH316" s="44"/>
    </row>
    <row r="317" spans="1:86" x14ac:dyDescent="0.2">
      <c r="A317" s="3" t="s">
        <v>16</v>
      </c>
      <c r="B317" s="39">
        <v>523</v>
      </c>
      <c r="C317" s="82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15"/>
      <c r="O317" s="16"/>
      <c r="P317" s="15"/>
      <c r="Q317" s="15"/>
      <c r="R317" s="15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L317" s="16"/>
      <c r="AM317" s="16">
        <v>0.14099999999999999</v>
      </c>
      <c r="AN317" s="16"/>
      <c r="AO317" s="16"/>
      <c r="AP317" s="16"/>
      <c r="AQ317" s="16"/>
      <c r="AS317" s="16">
        <v>0.1</v>
      </c>
      <c r="AT317" s="16"/>
      <c r="AU317" s="16"/>
      <c r="AW317" s="18"/>
      <c r="BB317" s="16"/>
      <c r="BC317" s="19"/>
      <c r="BD317" s="18"/>
      <c r="BF317" s="16"/>
      <c r="BK317" s="20"/>
      <c r="BM317" s="19"/>
      <c r="BO317" s="16"/>
      <c r="BP317"/>
      <c r="BQ317" s="20"/>
      <c r="BR317"/>
      <c r="BS317"/>
      <c r="BU317" s="5"/>
      <c r="CH317" s="44"/>
    </row>
    <row r="318" spans="1:86" x14ac:dyDescent="0.2">
      <c r="A318" s="3" t="s">
        <v>16</v>
      </c>
      <c r="B318" s="39">
        <v>524</v>
      </c>
      <c r="C318" s="82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15"/>
      <c r="O318" s="16"/>
      <c r="P318" s="15"/>
      <c r="Q318" s="15"/>
      <c r="R318" s="15"/>
      <c r="S318" s="16"/>
      <c r="T318" s="16"/>
      <c r="U318" s="16"/>
      <c r="V318" s="16"/>
      <c r="W318" s="16"/>
      <c r="X318" s="16"/>
      <c r="Y318" s="16">
        <v>0.16900000000000001</v>
      </c>
      <c r="Z318" s="16"/>
      <c r="AA318" s="16"/>
      <c r="AB318" s="16"/>
      <c r="AC318" s="16"/>
      <c r="AD318" s="16"/>
      <c r="AE318" s="16"/>
      <c r="AF318" s="16"/>
      <c r="AG318" s="16"/>
      <c r="AH318" s="16"/>
      <c r="AK318" s="16">
        <v>0.20699999999999999</v>
      </c>
      <c r="AL318" s="16"/>
      <c r="AM318" s="16"/>
      <c r="AN318" s="16"/>
      <c r="AO318" s="16"/>
      <c r="AP318" s="16"/>
      <c r="AQ318" s="16">
        <v>0.19800000000000001</v>
      </c>
      <c r="AS318" s="16"/>
      <c r="AT318" s="16"/>
      <c r="AU318" s="16"/>
      <c r="AW318" s="18"/>
      <c r="BB318" s="16">
        <v>0.14199999999999999</v>
      </c>
      <c r="BC318" s="19"/>
      <c r="BD318" s="18"/>
      <c r="BF318" s="16"/>
      <c r="BK318" s="20"/>
      <c r="BM318" s="19"/>
      <c r="BO318" s="16"/>
      <c r="BP318"/>
      <c r="BQ318" s="20"/>
      <c r="BR318"/>
      <c r="BS318"/>
      <c r="BU318" s="5"/>
      <c r="CH318" s="44"/>
    </row>
    <row r="319" spans="1:86" x14ac:dyDescent="0.2">
      <c r="A319" s="3" t="s">
        <v>16</v>
      </c>
      <c r="B319" s="39">
        <v>524</v>
      </c>
      <c r="C319" s="82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15"/>
      <c r="O319" s="16"/>
      <c r="P319" s="15"/>
      <c r="Q319" s="15"/>
      <c r="R319" s="15"/>
      <c r="S319" s="16"/>
      <c r="T319" s="16"/>
      <c r="U319" s="16"/>
      <c r="V319" s="16"/>
      <c r="W319" s="16"/>
      <c r="X319" s="16"/>
      <c r="Y319" s="16">
        <v>0.29699999999999999</v>
      </c>
      <c r="Z319" s="16"/>
      <c r="AA319" s="16"/>
      <c r="AB319" s="16"/>
      <c r="AC319" s="16"/>
      <c r="AD319" s="16"/>
      <c r="AE319" s="16"/>
      <c r="AF319" s="16"/>
      <c r="AG319" s="16"/>
      <c r="AH319" s="16"/>
      <c r="AK319" s="16">
        <v>0.36299999999999999</v>
      </c>
      <c r="AL319" s="16"/>
      <c r="AM319" s="16"/>
      <c r="AN319" s="16"/>
      <c r="AO319" s="16"/>
      <c r="AP319" s="16"/>
      <c r="AQ319" s="16">
        <v>0.318</v>
      </c>
      <c r="AS319" s="16"/>
      <c r="AT319" s="16"/>
      <c r="AU319" s="16"/>
      <c r="AW319" s="18"/>
      <c r="BB319" s="16">
        <v>0.20399999999999999</v>
      </c>
      <c r="BC319" s="19"/>
      <c r="BD319" s="18"/>
      <c r="BF319" s="16"/>
      <c r="BK319" s="20"/>
      <c r="BM319" s="19"/>
      <c r="BO319" s="16"/>
      <c r="BP319"/>
      <c r="BQ319" s="20"/>
      <c r="BR319"/>
      <c r="BS319"/>
      <c r="BU319" s="5"/>
      <c r="CH319" s="44"/>
    </row>
    <row r="320" spans="1:86" x14ac:dyDescent="0.2">
      <c r="A320" s="3" t="s">
        <v>16</v>
      </c>
      <c r="B320" s="39">
        <v>525</v>
      </c>
      <c r="C320" s="82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15"/>
      <c r="O320" s="16"/>
      <c r="P320" s="15"/>
      <c r="Q320" s="15"/>
      <c r="R320" s="15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K320" s="16"/>
      <c r="AL320" s="16"/>
      <c r="AM320" s="16"/>
      <c r="AN320" s="16"/>
      <c r="AO320" s="16"/>
      <c r="AP320" s="16"/>
      <c r="AQ320" s="16"/>
      <c r="AS320" s="16"/>
      <c r="AT320" s="16"/>
      <c r="AU320" s="16"/>
      <c r="AW320" s="18"/>
      <c r="AZ320" s="16">
        <v>9.1999999999999998E-2</v>
      </c>
      <c r="BB320" s="16"/>
      <c r="BC320" s="19"/>
      <c r="BD320" s="18"/>
      <c r="BF320" s="16"/>
      <c r="BK320" s="20"/>
      <c r="BM320" s="19"/>
      <c r="BO320" s="16"/>
      <c r="BP320"/>
      <c r="BQ320" s="20"/>
      <c r="BR320"/>
      <c r="BS320"/>
      <c r="BU320" s="5"/>
      <c r="CH320" s="44"/>
    </row>
    <row r="321" spans="1:86" x14ac:dyDescent="0.2">
      <c r="A321" s="3" t="s">
        <v>16</v>
      </c>
      <c r="B321" s="39">
        <v>525</v>
      </c>
      <c r="C321" s="82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15"/>
      <c r="O321" s="16"/>
      <c r="P321" s="15"/>
      <c r="Q321" s="15"/>
      <c r="R321" s="15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K321" s="16"/>
      <c r="AL321" s="16"/>
      <c r="AM321" s="16"/>
      <c r="AN321" s="16"/>
      <c r="AO321" s="16"/>
      <c r="AP321" s="16"/>
      <c r="AQ321" s="16"/>
      <c r="AS321" s="16"/>
      <c r="AT321" s="16"/>
      <c r="AU321" s="16"/>
      <c r="AW321" s="18"/>
      <c r="AZ321" s="16">
        <v>7.6999999999999999E-2</v>
      </c>
      <c r="BB321" s="16"/>
      <c r="BC321" s="19"/>
      <c r="BD321" s="18"/>
      <c r="BF321" s="16"/>
      <c r="BK321" s="20"/>
      <c r="BM321" s="19"/>
      <c r="BO321" s="16"/>
      <c r="BP321"/>
      <c r="BQ321" s="20"/>
      <c r="BR321"/>
      <c r="BS321"/>
      <c r="BU321" s="5"/>
      <c r="CH321" s="44"/>
    </row>
    <row r="322" spans="1:86" x14ac:dyDescent="0.2">
      <c r="A322" s="3" t="s">
        <v>16</v>
      </c>
      <c r="B322" s="39">
        <v>526</v>
      </c>
      <c r="C322" s="82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15"/>
      <c r="O322" s="16"/>
      <c r="P322" s="15"/>
      <c r="Q322" s="15"/>
      <c r="R322" s="15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K322" s="16"/>
      <c r="AL322" s="16"/>
      <c r="AM322" s="16"/>
      <c r="AN322" s="16"/>
      <c r="AO322" s="16"/>
      <c r="AP322" s="16"/>
      <c r="AQ322" s="16"/>
      <c r="AS322" s="16"/>
      <c r="AT322" s="16"/>
      <c r="AU322" s="16"/>
      <c r="AV322" s="16">
        <v>0.19</v>
      </c>
      <c r="AW322" s="18"/>
      <c r="AZ322" s="16"/>
      <c r="BB322" s="16"/>
      <c r="BC322" s="19"/>
      <c r="BD322" s="18"/>
      <c r="BF322" s="16"/>
      <c r="BG322" s="16">
        <v>0.19</v>
      </c>
      <c r="BK322" s="20"/>
      <c r="BM322" s="19"/>
      <c r="BO322" s="16"/>
      <c r="BP322"/>
      <c r="BQ322" s="20"/>
      <c r="BR322"/>
      <c r="BS322"/>
      <c r="BU322" s="5"/>
      <c r="CH322" s="44"/>
    </row>
    <row r="323" spans="1:86" x14ac:dyDescent="0.2">
      <c r="A323" s="3" t="s">
        <v>16</v>
      </c>
      <c r="B323" s="39">
        <v>526</v>
      </c>
      <c r="C323" s="82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15"/>
      <c r="O323" s="16"/>
      <c r="P323" s="15"/>
      <c r="Q323" s="15"/>
      <c r="R323" s="15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K323" s="16"/>
      <c r="AL323" s="16"/>
      <c r="AM323" s="16"/>
      <c r="AN323" s="16"/>
      <c r="AO323" s="16"/>
      <c r="AP323" s="16"/>
      <c r="AQ323" s="16"/>
      <c r="AS323" s="16"/>
      <c r="AT323" s="16"/>
      <c r="AU323" s="16"/>
      <c r="AV323" s="16">
        <v>0.28000000000000003</v>
      </c>
      <c r="AW323" s="18"/>
      <c r="AZ323" s="16"/>
      <c r="BB323" s="16"/>
      <c r="BC323" s="19"/>
      <c r="BD323" s="18"/>
      <c r="BF323" s="16"/>
      <c r="BG323" s="16">
        <v>0.21</v>
      </c>
      <c r="BK323" s="20"/>
      <c r="BM323" s="19"/>
      <c r="BO323" s="16"/>
      <c r="BP323"/>
      <c r="BQ323" s="20"/>
      <c r="BR323"/>
      <c r="BS323"/>
      <c r="BU323" s="5"/>
      <c r="CH323" s="44"/>
    </row>
    <row r="324" spans="1:86" x14ac:dyDescent="0.2">
      <c r="A324" s="3" t="s">
        <v>16</v>
      </c>
      <c r="B324" s="39">
        <v>527</v>
      </c>
      <c r="C324" s="82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15"/>
      <c r="O324" s="16"/>
      <c r="P324" s="15"/>
      <c r="Q324" s="15"/>
      <c r="R324" s="15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K324" s="16"/>
      <c r="AL324" s="16"/>
      <c r="AM324" s="16"/>
      <c r="AN324" s="16"/>
      <c r="AO324" s="16"/>
      <c r="AP324" s="16"/>
      <c r="AQ324" s="16"/>
      <c r="AS324" s="16"/>
      <c r="AT324" s="16"/>
      <c r="AU324" s="16"/>
      <c r="AV324" s="16"/>
      <c r="AW324" s="18"/>
      <c r="AZ324" s="16"/>
      <c r="BB324" s="16">
        <v>0.25</v>
      </c>
      <c r="BC324" s="19"/>
      <c r="BD324" s="18"/>
      <c r="BE324" s="16">
        <v>0.25</v>
      </c>
      <c r="BF324" s="16"/>
      <c r="BG324" s="16"/>
      <c r="BK324" s="16">
        <v>0.28699999999999998</v>
      </c>
      <c r="BM324" s="19"/>
      <c r="BO324" s="16"/>
      <c r="BP324"/>
      <c r="BQ324" s="20"/>
      <c r="BR324"/>
      <c r="BS324"/>
      <c r="BU324" s="5"/>
      <c r="CH324" s="44"/>
    </row>
    <row r="325" spans="1:86" x14ac:dyDescent="0.2">
      <c r="A325" s="3" t="s">
        <v>16</v>
      </c>
      <c r="B325" s="39">
        <v>528</v>
      </c>
      <c r="C325" s="82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15"/>
      <c r="O325" s="16"/>
      <c r="P325" s="15"/>
      <c r="Q325" s="15"/>
      <c r="R325" s="15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K325" s="16"/>
      <c r="AL325" s="16"/>
      <c r="AM325" s="16"/>
      <c r="AN325" s="16"/>
      <c r="AO325" s="16"/>
      <c r="AP325" s="16"/>
      <c r="AQ325" s="16"/>
      <c r="AS325" s="16"/>
      <c r="AT325" s="16"/>
      <c r="AU325" s="16"/>
      <c r="AV325" s="16"/>
      <c r="AW325" s="18"/>
      <c r="AZ325" s="16"/>
      <c r="BB325" s="16"/>
      <c r="BC325" s="19"/>
      <c r="BD325" s="18"/>
      <c r="BE325" s="16">
        <v>0.22700000000000001</v>
      </c>
      <c r="BF325" s="16"/>
      <c r="BG325" s="16"/>
      <c r="BI325" s="16">
        <v>0.24</v>
      </c>
      <c r="BK325" s="16"/>
      <c r="BM325" s="19"/>
      <c r="BO325" s="16"/>
      <c r="BP325"/>
      <c r="BQ325" s="20"/>
      <c r="BR325"/>
      <c r="BS325"/>
      <c r="BU325" s="5"/>
      <c r="CH325" s="44"/>
    </row>
    <row r="326" spans="1:86" x14ac:dyDescent="0.2">
      <c r="A326" s="3" t="s">
        <v>16</v>
      </c>
      <c r="B326" s="39">
        <v>529</v>
      </c>
      <c r="C326" s="82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15"/>
      <c r="O326" s="16"/>
      <c r="P326" s="15"/>
      <c r="Q326" s="15"/>
      <c r="R326" s="15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K326" s="16"/>
      <c r="AL326" s="16"/>
      <c r="AM326" s="16"/>
      <c r="AN326" s="16"/>
      <c r="AO326" s="16"/>
      <c r="AP326" s="16"/>
      <c r="AQ326" s="16"/>
      <c r="AS326" s="16"/>
      <c r="AT326" s="16"/>
      <c r="AU326" s="16"/>
      <c r="AV326" s="16">
        <v>0.47099999999999997</v>
      </c>
      <c r="AW326" s="18"/>
      <c r="AY326" s="16">
        <v>0.43</v>
      </c>
      <c r="AZ326" s="16"/>
      <c r="BB326" s="16"/>
      <c r="BC326" s="16">
        <v>0.41299999999999998</v>
      </c>
      <c r="BD326" s="18"/>
      <c r="BE326" s="16"/>
      <c r="BF326" s="16"/>
      <c r="BG326" s="16"/>
      <c r="BI326" s="16">
        <v>0.36699999999999999</v>
      </c>
      <c r="BK326" s="16"/>
      <c r="BL326" s="16">
        <v>0.39100000000000001</v>
      </c>
      <c r="BM326" s="19"/>
      <c r="BO326" s="16"/>
      <c r="BP326"/>
      <c r="BQ326" s="20"/>
      <c r="BR326"/>
      <c r="BS326"/>
      <c r="BU326" s="5"/>
      <c r="CH326" s="44"/>
    </row>
    <row r="327" spans="1:86" x14ac:dyDescent="0.2">
      <c r="A327" s="3" t="s">
        <v>16</v>
      </c>
      <c r="B327" s="39">
        <v>530</v>
      </c>
      <c r="C327" s="82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15"/>
      <c r="O327" s="16"/>
      <c r="P327" s="15"/>
      <c r="Q327" s="15"/>
      <c r="R327" s="15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K327" s="16"/>
      <c r="AL327" s="16"/>
      <c r="AM327" s="16"/>
      <c r="AN327" s="16"/>
      <c r="AO327" s="16"/>
      <c r="AP327" s="16"/>
      <c r="AQ327" s="16">
        <v>0.371</v>
      </c>
      <c r="AS327" s="16"/>
      <c r="AT327" s="16"/>
      <c r="AU327" s="16"/>
      <c r="AV327" s="16"/>
      <c r="AW327" s="18"/>
      <c r="AY327" s="16"/>
      <c r="AZ327" s="16"/>
      <c r="BB327" s="16"/>
      <c r="BC327" s="16"/>
      <c r="BD327" s="18"/>
      <c r="BE327" s="16">
        <v>0.32300000000000001</v>
      </c>
      <c r="BF327" s="16"/>
      <c r="BG327" s="16"/>
      <c r="BI327" s="16"/>
      <c r="BK327" s="16">
        <v>0.374</v>
      </c>
      <c r="BL327" s="16"/>
      <c r="BM327" s="19"/>
      <c r="BO327" s="16"/>
      <c r="BP327"/>
      <c r="BQ327" s="20"/>
      <c r="BR327"/>
      <c r="BS327"/>
      <c r="BU327" s="5"/>
      <c r="CH327" s="44"/>
    </row>
    <row r="328" spans="1:86" x14ac:dyDescent="0.2">
      <c r="A328" s="3" t="s">
        <v>16</v>
      </c>
      <c r="B328" s="39">
        <v>530</v>
      </c>
      <c r="C328" s="82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15"/>
      <c r="O328" s="16"/>
      <c r="P328" s="15"/>
      <c r="Q328" s="15"/>
      <c r="R328" s="15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K328" s="16"/>
      <c r="AL328" s="16"/>
      <c r="AM328" s="16"/>
      <c r="AN328" s="16"/>
      <c r="AO328" s="16"/>
      <c r="AP328" s="16"/>
      <c r="AQ328" s="16">
        <v>0.29599999999999999</v>
      </c>
      <c r="AS328" s="16"/>
      <c r="AT328" s="16"/>
      <c r="AU328" s="16"/>
      <c r="AV328" s="16"/>
      <c r="AW328" s="18"/>
      <c r="AY328" s="16"/>
      <c r="AZ328" s="16"/>
      <c r="BB328" s="16"/>
      <c r="BC328" s="16"/>
      <c r="BD328" s="18"/>
      <c r="BE328" s="16">
        <v>0.23599999999999999</v>
      </c>
      <c r="BF328" s="16"/>
      <c r="BG328" s="16"/>
      <c r="BI328" s="16"/>
      <c r="BK328" s="16">
        <v>0.27700000000000002</v>
      </c>
      <c r="BL328" s="16"/>
      <c r="BM328" s="19"/>
      <c r="BO328" s="16"/>
      <c r="BP328"/>
      <c r="BQ328" s="20"/>
      <c r="BR328"/>
      <c r="BS328"/>
      <c r="BU328" s="5"/>
      <c r="CH328" s="44"/>
    </row>
    <row r="329" spans="1:86" x14ac:dyDescent="0.2">
      <c r="A329" s="3" t="s">
        <v>16</v>
      </c>
      <c r="B329" s="39">
        <v>530</v>
      </c>
      <c r="C329" s="82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15"/>
      <c r="O329" s="16"/>
      <c r="P329" s="15"/>
      <c r="Q329" s="15"/>
      <c r="R329" s="15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K329" s="16"/>
      <c r="AL329" s="16"/>
      <c r="AM329" s="16"/>
      <c r="AN329" s="16"/>
      <c r="AO329" s="16"/>
      <c r="AP329" s="16"/>
      <c r="AQ329" s="16">
        <v>0.19800000000000001</v>
      </c>
      <c r="AS329" s="16"/>
      <c r="AT329" s="16"/>
      <c r="AU329" s="16"/>
      <c r="AV329" s="16"/>
      <c r="AW329" s="18"/>
      <c r="AY329" s="16"/>
      <c r="AZ329" s="16"/>
      <c r="BB329" s="16"/>
      <c r="BC329" s="16"/>
      <c r="BD329" s="18"/>
      <c r="BE329" s="16">
        <v>0.115</v>
      </c>
      <c r="BF329" s="16"/>
      <c r="BG329" s="16"/>
      <c r="BI329" s="16"/>
      <c r="BK329" s="16">
        <v>0.11899999999999999</v>
      </c>
      <c r="BL329" s="16"/>
      <c r="BM329" s="19"/>
      <c r="BO329" s="16"/>
      <c r="BP329"/>
      <c r="BQ329" s="20"/>
      <c r="BR329"/>
      <c r="BS329"/>
      <c r="BU329" s="5"/>
      <c r="CH329" s="44"/>
    </row>
    <row r="330" spans="1:86" x14ac:dyDescent="0.2">
      <c r="A330" s="3" t="s">
        <v>16</v>
      </c>
      <c r="B330" s="39">
        <v>530</v>
      </c>
      <c r="C330" s="82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15"/>
      <c r="O330" s="16"/>
      <c r="P330" s="15"/>
      <c r="Q330" s="15"/>
      <c r="R330" s="15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K330" s="16"/>
      <c r="AL330" s="16"/>
      <c r="AM330" s="16"/>
      <c r="AN330" s="16"/>
      <c r="AO330" s="16"/>
      <c r="AP330" s="16"/>
      <c r="AQ330" s="16">
        <v>9.9000000000000005E-2</v>
      </c>
      <c r="AS330" s="16"/>
      <c r="AT330" s="16"/>
      <c r="AU330" s="16"/>
      <c r="AV330" s="16"/>
      <c r="AW330" s="18"/>
      <c r="AY330" s="16"/>
      <c r="AZ330" s="16"/>
      <c r="BB330" s="16"/>
      <c r="BC330" s="16"/>
      <c r="BD330" s="18"/>
      <c r="BE330" s="16">
        <v>4.1000000000000002E-2</v>
      </c>
      <c r="BF330" s="16"/>
      <c r="BG330" s="16"/>
      <c r="BI330" s="16"/>
      <c r="BK330" s="16">
        <v>4.2999999999999997E-2</v>
      </c>
      <c r="BL330" s="16"/>
      <c r="BM330" s="19"/>
      <c r="BO330" s="16"/>
      <c r="BP330"/>
      <c r="BQ330" s="20"/>
      <c r="BR330"/>
      <c r="BS330"/>
      <c r="BU330" s="5"/>
      <c r="CH330" s="44"/>
    </row>
    <row r="331" spans="1:86" x14ac:dyDescent="0.2">
      <c r="A331" s="3" t="s">
        <v>16</v>
      </c>
      <c r="B331" s="39">
        <v>531</v>
      </c>
      <c r="C331" s="82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15"/>
      <c r="O331" s="16"/>
      <c r="P331" s="15"/>
      <c r="Q331" s="15"/>
      <c r="R331" s="15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K331" s="16"/>
      <c r="AL331" s="16"/>
      <c r="AM331" s="16"/>
      <c r="AN331" s="16"/>
      <c r="AO331" s="16"/>
      <c r="AP331" s="16"/>
      <c r="AQ331" s="16"/>
      <c r="AS331" s="16"/>
      <c r="AT331" s="16"/>
      <c r="AU331" s="16"/>
      <c r="AV331" s="16"/>
      <c r="AW331" s="18"/>
      <c r="AY331" s="16"/>
      <c r="AZ331" s="16"/>
      <c r="BB331" s="16"/>
      <c r="BC331" s="16"/>
      <c r="BD331" s="18"/>
      <c r="BE331" s="16"/>
      <c r="BF331" s="16"/>
      <c r="BG331" s="16"/>
      <c r="BI331" s="16"/>
      <c r="BK331" s="16">
        <v>0.28699999999999998</v>
      </c>
      <c r="BM331" s="16">
        <v>0.28599999999999998</v>
      </c>
      <c r="BO331" s="16"/>
      <c r="BP331"/>
      <c r="BQ331" s="20"/>
      <c r="BR331"/>
      <c r="BS331"/>
      <c r="BU331" s="5"/>
      <c r="CH331" s="44"/>
    </row>
    <row r="332" spans="1:86" x14ac:dyDescent="0.2">
      <c r="A332" s="3" t="s">
        <v>16</v>
      </c>
      <c r="B332" s="39">
        <v>532</v>
      </c>
      <c r="C332" s="82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15"/>
      <c r="O332" s="16"/>
      <c r="P332" s="15"/>
      <c r="Q332" s="15"/>
      <c r="R332" s="15"/>
      <c r="S332" s="16"/>
      <c r="T332" s="16"/>
      <c r="U332" s="16"/>
      <c r="V332" s="16"/>
      <c r="W332" s="16"/>
      <c r="X332" s="16"/>
      <c r="Y332" s="16">
        <v>0.29699999999999999</v>
      </c>
      <c r="Z332" s="16"/>
      <c r="AA332" s="16"/>
      <c r="AB332" s="16"/>
      <c r="AC332" s="16"/>
      <c r="AD332" s="16"/>
      <c r="AE332" s="16"/>
      <c r="AF332" s="16"/>
      <c r="AG332" s="16"/>
      <c r="AH332" s="16"/>
      <c r="AK332" s="16">
        <v>0.36299999999999999</v>
      </c>
      <c r="AL332" s="16"/>
      <c r="AM332" s="16"/>
      <c r="AN332" s="16"/>
      <c r="AO332" s="16"/>
      <c r="AP332" s="16"/>
      <c r="AQ332" s="16">
        <v>0.318</v>
      </c>
      <c r="AS332" s="16"/>
      <c r="AT332" s="16"/>
      <c r="AU332" s="16"/>
      <c r="AV332" s="16"/>
      <c r="AW332" s="18"/>
      <c r="AY332" s="16"/>
      <c r="AZ332" s="16"/>
      <c r="BB332" s="16">
        <v>0.25</v>
      </c>
      <c r="BC332" s="16"/>
      <c r="BD332" s="18"/>
      <c r="BE332" s="16">
        <v>0.25</v>
      </c>
      <c r="BF332" s="16"/>
      <c r="BG332" s="16"/>
      <c r="BI332" s="16"/>
      <c r="BK332" s="16"/>
      <c r="BM332" s="16">
        <v>0.28599999999999998</v>
      </c>
      <c r="BO332" s="16"/>
      <c r="BP332"/>
      <c r="BQ332" s="20"/>
      <c r="BR332"/>
      <c r="BS332"/>
      <c r="BU332" s="5"/>
      <c r="CH332" s="44"/>
    </row>
    <row r="333" spans="1:86" x14ac:dyDescent="0.2">
      <c r="A333" s="3" t="s">
        <v>16</v>
      </c>
      <c r="B333" s="39">
        <v>533</v>
      </c>
      <c r="C333" s="82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15"/>
      <c r="O333" s="16"/>
      <c r="P333" s="15"/>
      <c r="Q333" s="15"/>
      <c r="R333" s="15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K333" s="16"/>
      <c r="AL333" s="16"/>
      <c r="AM333" s="16"/>
      <c r="AN333" s="16"/>
      <c r="AO333" s="16"/>
      <c r="AP333" s="16"/>
      <c r="AQ333" s="16"/>
      <c r="AS333" s="16"/>
      <c r="AT333" s="16"/>
      <c r="AU333" s="16"/>
      <c r="AV333" s="16"/>
      <c r="AW333" s="18"/>
      <c r="AY333" s="16"/>
      <c r="AZ333" s="16"/>
      <c r="BB333" s="16"/>
      <c r="BC333" s="16"/>
      <c r="BD333" s="18"/>
      <c r="BE333" s="16"/>
      <c r="BF333" s="16"/>
      <c r="BG333" s="16"/>
      <c r="BI333" s="16"/>
      <c r="BK333" s="16">
        <v>0.26800000000000002</v>
      </c>
      <c r="BM333" s="16">
        <v>0.26</v>
      </c>
      <c r="BO333" s="16">
        <v>0.29299999999999998</v>
      </c>
      <c r="BP333"/>
      <c r="BQ333" s="20"/>
      <c r="BR333"/>
      <c r="BS333"/>
      <c r="BU333" s="5"/>
      <c r="CH333" s="44"/>
    </row>
    <row r="334" spans="1:86" x14ac:dyDescent="0.2">
      <c r="A334" s="3" t="s">
        <v>16</v>
      </c>
      <c r="B334" s="39">
        <v>534</v>
      </c>
      <c r="C334" s="82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15"/>
      <c r="O334" s="16"/>
      <c r="P334" s="15"/>
      <c r="Q334" s="15"/>
      <c r="R334" s="15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K334" s="16"/>
      <c r="AL334" s="16"/>
      <c r="AM334" s="16"/>
      <c r="AN334" s="16"/>
      <c r="AO334" s="16"/>
      <c r="AP334" s="16"/>
      <c r="AQ334" s="16"/>
      <c r="AS334" s="16"/>
      <c r="AT334" s="16"/>
      <c r="AU334" s="16"/>
      <c r="AV334" s="16"/>
      <c r="AW334" s="18"/>
      <c r="AY334" s="16"/>
      <c r="AZ334" s="16"/>
      <c r="BB334" s="16"/>
      <c r="BC334" s="16"/>
      <c r="BD334" s="18"/>
      <c r="BE334" s="16"/>
      <c r="BF334" s="16">
        <f>153.1/1000</f>
        <v>0.15309999999999999</v>
      </c>
      <c r="BG334" s="16"/>
      <c r="BI334" s="16"/>
      <c r="BK334" s="16"/>
      <c r="BM334" s="16"/>
      <c r="BO334" s="16"/>
      <c r="BP334" s="16">
        <f>244.8/1000</f>
        <v>0.24480000000000002</v>
      </c>
      <c r="BQ334" s="20"/>
      <c r="BR334"/>
      <c r="BS334"/>
      <c r="BU334" s="5"/>
      <c r="CH334" s="44"/>
    </row>
    <row r="335" spans="1:86" x14ac:dyDescent="0.2">
      <c r="A335" s="3" t="s">
        <v>16</v>
      </c>
      <c r="B335" s="39">
        <v>535</v>
      </c>
      <c r="C335" s="82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15"/>
      <c r="O335" s="16"/>
      <c r="P335" s="15"/>
      <c r="Q335" s="15"/>
      <c r="R335" s="15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K335" s="16"/>
      <c r="AL335" s="16"/>
      <c r="AM335" s="16"/>
      <c r="AN335" s="16"/>
      <c r="AO335" s="16"/>
      <c r="AP335" s="16"/>
      <c r="AQ335" s="16"/>
      <c r="AS335" s="16"/>
      <c r="AT335" s="16"/>
      <c r="AU335" s="16"/>
      <c r="AV335" s="16"/>
      <c r="AW335" s="18"/>
      <c r="AY335" s="16"/>
      <c r="AZ335" s="16"/>
      <c r="BB335" s="16"/>
      <c r="BC335" s="16"/>
      <c r="BD335" s="18"/>
      <c r="BE335" s="16">
        <v>0.24399999999999999</v>
      </c>
      <c r="BF335" s="16"/>
      <c r="BG335" s="16"/>
      <c r="BI335" s="16"/>
      <c r="BK335" s="16"/>
      <c r="BM335" s="16"/>
      <c r="BO335" s="16">
        <v>0.28899999999999998</v>
      </c>
      <c r="BP335" s="16"/>
      <c r="BQ335" s="20"/>
      <c r="BR335"/>
      <c r="BS335"/>
      <c r="BU335" s="5"/>
      <c r="CH335" s="44"/>
    </row>
    <row r="336" spans="1:86" x14ac:dyDescent="0.2">
      <c r="A336" s="3" t="s">
        <v>16</v>
      </c>
      <c r="B336" s="39">
        <v>536</v>
      </c>
      <c r="C336" s="82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15"/>
      <c r="O336" s="16"/>
      <c r="P336" s="15"/>
      <c r="Q336" s="15"/>
      <c r="R336" s="15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K336" s="16"/>
      <c r="AL336" s="16"/>
      <c r="AM336" s="16"/>
      <c r="AN336" s="16"/>
      <c r="AO336" s="16"/>
      <c r="AP336" s="16"/>
      <c r="AQ336" s="16"/>
      <c r="AS336" s="16">
        <v>0.63400000000000001</v>
      </c>
      <c r="AT336" s="16"/>
      <c r="AU336" s="16"/>
      <c r="AV336" s="16"/>
      <c r="AW336" s="18"/>
      <c r="AZ336" s="16"/>
      <c r="BB336" s="16"/>
      <c r="BC336" s="16"/>
      <c r="BD336" s="18"/>
      <c r="BE336" s="16"/>
      <c r="BF336" s="16"/>
      <c r="BG336" s="16"/>
      <c r="BI336" s="16"/>
      <c r="BK336" s="16"/>
      <c r="BM336" s="16">
        <v>0.51600000000000001</v>
      </c>
      <c r="BO336" s="16"/>
      <c r="BP336" s="16"/>
      <c r="BQ336" s="20"/>
      <c r="BR336" s="16">
        <v>0.53400000000000003</v>
      </c>
      <c r="BS336"/>
      <c r="BU336" s="5"/>
      <c r="CH336" s="44"/>
    </row>
    <row r="337" spans="1:86" x14ac:dyDescent="0.2">
      <c r="A337" s="3" t="s">
        <v>16</v>
      </c>
      <c r="B337" s="39">
        <v>536</v>
      </c>
      <c r="C337" s="82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15"/>
      <c r="O337" s="16"/>
      <c r="P337" s="15"/>
      <c r="Q337" s="15"/>
      <c r="R337" s="15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K337" s="16"/>
      <c r="AL337" s="16"/>
      <c r="AM337" s="16"/>
      <c r="AN337" s="16"/>
      <c r="AO337" s="16"/>
      <c r="AP337" s="16"/>
      <c r="AQ337" s="16"/>
      <c r="AS337" s="16">
        <v>0.502</v>
      </c>
      <c r="AT337" s="16"/>
      <c r="AU337" s="16"/>
      <c r="AV337" s="16"/>
      <c r="AW337" s="18"/>
      <c r="AZ337" s="16"/>
      <c r="BB337" s="16"/>
      <c r="BC337" s="16"/>
      <c r="BD337" s="18"/>
      <c r="BE337" s="16"/>
      <c r="BF337" s="16"/>
      <c r="BG337" s="16"/>
      <c r="BI337" s="16"/>
      <c r="BK337" s="16"/>
      <c r="BM337" s="16">
        <v>0.35299999999999998</v>
      </c>
      <c r="BO337" s="16"/>
      <c r="BP337" s="16"/>
      <c r="BQ337" s="20"/>
      <c r="BR337" s="16">
        <v>0.39900000000000002</v>
      </c>
      <c r="BS337"/>
      <c r="BU337" s="5"/>
      <c r="CH337" s="44"/>
    </row>
    <row r="338" spans="1:86" x14ac:dyDescent="0.2">
      <c r="A338" s="3" t="s">
        <v>16</v>
      </c>
      <c r="B338" s="39">
        <v>536</v>
      </c>
      <c r="C338" s="82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15"/>
      <c r="O338" s="16"/>
      <c r="P338" s="15"/>
      <c r="Q338" s="15"/>
      <c r="R338" s="15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K338" s="16"/>
      <c r="AL338" s="16"/>
      <c r="AM338" s="16"/>
      <c r="AN338" s="16"/>
      <c r="AO338" s="16"/>
      <c r="AP338" s="16"/>
      <c r="AQ338" s="16"/>
      <c r="AS338" s="16">
        <v>0.67500000000000004</v>
      </c>
      <c r="AT338" s="16"/>
      <c r="AU338" s="16"/>
      <c r="AV338" s="16"/>
      <c r="AW338" s="18"/>
      <c r="AZ338" s="16"/>
      <c r="BB338" s="16"/>
      <c r="BC338" s="16"/>
      <c r="BD338" s="18"/>
      <c r="BE338" s="16"/>
      <c r="BF338" s="16"/>
      <c r="BG338" s="16"/>
      <c r="BI338" s="16"/>
      <c r="BK338" s="16"/>
      <c r="BM338" s="16">
        <v>0.503</v>
      </c>
      <c r="BO338" s="16"/>
      <c r="BP338" s="16"/>
      <c r="BQ338" s="20"/>
      <c r="BR338" s="16">
        <v>0.55300000000000005</v>
      </c>
      <c r="BS338"/>
      <c r="BU338" s="5"/>
      <c r="CH338" s="44"/>
    </row>
    <row r="339" spans="1:86" x14ac:dyDescent="0.2">
      <c r="A339" s="3" t="s">
        <v>16</v>
      </c>
      <c r="B339" s="39">
        <v>536</v>
      </c>
      <c r="C339" s="82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15"/>
      <c r="O339" s="16"/>
      <c r="P339" s="15"/>
      <c r="Q339" s="15"/>
      <c r="R339" s="15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K339" s="16"/>
      <c r="AL339" s="16"/>
      <c r="AM339" s="16"/>
      <c r="AN339" s="16"/>
      <c r="AO339" s="16"/>
      <c r="AP339" s="16"/>
      <c r="AQ339" s="16"/>
      <c r="AS339" s="16">
        <v>0.55200000000000005</v>
      </c>
      <c r="AT339" s="16"/>
      <c r="AU339" s="16"/>
      <c r="AV339" s="16"/>
      <c r="AW339" s="18"/>
      <c r="AZ339" s="16"/>
      <c r="BB339" s="16"/>
      <c r="BC339" s="16"/>
      <c r="BD339" s="18"/>
      <c r="BE339" s="16"/>
      <c r="BF339" s="16"/>
      <c r="BG339" s="16"/>
      <c r="BI339" s="16"/>
      <c r="BK339" s="16"/>
      <c r="BM339" s="16">
        <v>0.35699999999999998</v>
      </c>
      <c r="BO339" s="16"/>
      <c r="BP339" s="16"/>
      <c r="BQ339" s="20"/>
      <c r="BR339" s="16">
        <v>0.35799999999999998</v>
      </c>
      <c r="BS339"/>
      <c r="BU339" s="5"/>
      <c r="CH339" s="44"/>
    </row>
    <row r="340" spans="1:86" x14ac:dyDescent="0.2">
      <c r="A340" s="3" t="s">
        <v>16</v>
      </c>
      <c r="B340" s="39">
        <v>536</v>
      </c>
      <c r="C340" s="82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15"/>
      <c r="O340" s="16"/>
      <c r="P340" s="15"/>
      <c r="Q340" s="15"/>
      <c r="R340" s="15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K340" s="16"/>
      <c r="AL340" s="16"/>
      <c r="AM340" s="16"/>
      <c r="AN340" s="16"/>
      <c r="AO340" s="16"/>
      <c r="AP340" s="16"/>
      <c r="AQ340" s="16"/>
      <c r="AS340" s="16">
        <v>0.59299999999999997</v>
      </c>
      <c r="AT340" s="16"/>
      <c r="AU340" s="16"/>
      <c r="AV340" s="16"/>
      <c r="AW340" s="18"/>
      <c r="AZ340" s="16"/>
      <c r="BB340" s="16"/>
      <c r="BC340" s="16"/>
      <c r="BD340" s="18"/>
      <c r="BE340" s="16"/>
      <c r="BF340" s="16"/>
      <c r="BG340" s="16"/>
      <c r="BI340" s="16"/>
      <c r="BK340" s="16"/>
      <c r="BM340" s="16">
        <v>0.47499999999999998</v>
      </c>
      <c r="BO340" s="16"/>
      <c r="BP340" s="16"/>
      <c r="BQ340" s="20"/>
      <c r="BR340" s="16">
        <v>0.47299999999999998</v>
      </c>
      <c r="BS340"/>
      <c r="BU340" s="5"/>
      <c r="CH340" s="44"/>
    </row>
    <row r="341" spans="1:86" x14ac:dyDescent="0.2">
      <c r="A341" s="3" t="s">
        <v>16</v>
      </c>
      <c r="B341" s="39">
        <v>536</v>
      </c>
      <c r="C341" s="82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15"/>
      <c r="O341" s="16"/>
      <c r="P341" s="15"/>
      <c r="Q341" s="15"/>
      <c r="R341" s="15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K341" s="16"/>
      <c r="AL341" s="16"/>
      <c r="AM341" s="16"/>
      <c r="AN341" s="16"/>
      <c r="AO341" s="16"/>
      <c r="AP341" s="16"/>
      <c r="AQ341" s="16"/>
      <c r="AS341" s="16">
        <v>0.40400000000000003</v>
      </c>
      <c r="AT341" s="16"/>
      <c r="AU341" s="16"/>
      <c r="AV341" s="16"/>
      <c r="AW341" s="18"/>
      <c r="AZ341" s="16"/>
      <c r="BB341" s="16"/>
      <c r="BC341" s="16"/>
      <c r="BD341" s="18"/>
      <c r="BE341" s="16"/>
      <c r="BF341" s="16"/>
      <c r="BG341" s="16"/>
      <c r="BI341" s="16"/>
      <c r="BK341" s="16"/>
      <c r="BM341" s="16">
        <v>0.33200000000000002</v>
      </c>
      <c r="BO341" s="16"/>
      <c r="BP341" s="16"/>
      <c r="BQ341" s="20"/>
      <c r="BR341" s="16">
        <v>0.254</v>
      </c>
      <c r="BS341"/>
      <c r="BU341" s="5"/>
      <c r="CH341" s="44"/>
    </row>
    <row r="342" spans="1:86" x14ac:dyDescent="0.2">
      <c r="A342" s="3" t="s">
        <v>16</v>
      </c>
      <c r="B342" s="39">
        <v>537</v>
      </c>
      <c r="C342" s="82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15"/>
      <c r="O342" s="16"/>
      <c r="P342" s="15"/>
      <c r="Q342" s="15"/>
      <c r="R342" s="15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K342" s="16"/>
      <c r="AL342" s="16"/>
      <c r="AM342" s="16"/>
      <c r="AN342" s="16"/>
      <c r="AO342" s="16"/>
      <c r="AP342" s="16"/>
      <c r="AQ342" s="16"/>
      <c r="AS342" s="16"/>
      <c r="AT342" s="16"/>
      <c r="AU342" s="16"/>
      <c r="AV342" s="16"/>
      <c r="AW342" s="18"/>
      <c r="AZ342" s="16"/>
      <c r="BB342" s="16"/>
      <c r="BC342" s="16"/>
      <c r="BD342" s="16">
        <v>0.23799999999999999</v>
      </c>
      <c r="BE342" s="16"/>
      <c r="BF342" s="16"/>
      <c r="BG342" s="16"/>
      <c r="BI342" s="16"/>
      <c r="BK342" s="16">
        <v>0.307</v>
      </c>
      <c r="BM342" s="16"/>
      <c r="BO342" s="16"/>
      <c r="BP342" s="16"/>
      <c r="BQ342" s="16">
        <v>0.432</v>
      </c>
      <c r="BR342" s="16"/>
      <c r="BS342"/>
      <c r="BU342" s="5"/>
      <c r="CH342" s="44"/>
    </row>
    <row r="343" spans="1:86" x14ac:dyDescent="0.2">
      <c r="A343" s="3" t="s">
        <v>16</v>
      </c>
      <c r="B343" s="39">
        <v>538</v>
      </c>
      <c r="C343" s="82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15"/>
      <c r="O343" s="16"/>
      <c r="P343" s="15"/>
      <c r="Q343" s="15"/>
      <c r="R343" s="15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K343" s="16"/>
      <c r="AL343" s="16"/>
      <c r="AM343" s="16"/>
      <c r="AN343" s="16"/>
      <c r="AO343" s="16"/>
      <c r="AP343" s="16"/>
      <c r="AQ343" s="16"/>
      <c r="AS343" s="16"/>
      <c r="AT343" s="16"/>
      <c r="AU343" s="16"/>
      <c r="AV343" s="16"/>
      <c r="AW343" s="18"/>
      <c r="AZ343" s="16"/>
      <c r="BB343" s="16">
        <v>0.33800000000000002</v>
      </c>
      <c r="BC343" s="16"/>
      <c r="BD343" s="16"/>
      <c r="BE343" s="16"/>
      <c r="BF343" s="16"/>
      <c r="BG343" s="16"/>
      <c r="BI343" s="16"/>
      <c r="BK343" s="16"/>
      <c r="BM343" s="16">
        <v>0.61499999999999999</v>
      </c>
      <c r="BO343" s="16"/>
      <c r="BP343" s="16"/>
      <c r="BQ343" s="16"/>
      <c r="BR343" s="16">
        <v>0.54600000000000004</v>
      </c>
      <c r="BS343"/>
      <c r="BU343" s="5"/>
      <c r="CH343" s="44"/>
    </row>
    <row r="344" spans="1:86" x14ac:dyDescent="0.2">
      <c r="A344" s="3" t="s">
        <v>16</v>
      </c>
      <c r="B344" s="39">
        <v>538</v>
      </c>
      <c r="C344" s="82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15"/>
      <c r="O344" s="16"/>
      <c r="P344" s="15"/>
      <c r="Q344" s="15"/>
      <c r="R344" s="15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K344" s="16"/>
      <c r="AL344" s="16"/>
      <c r="AM344" s="16"/>
      <c r="AN344" s="16"/>
      <c r="AO344" s="16"/>
      <c r="AP344" s="16"/>
      <c r="AQ344" s="16"/>
      <c r="AS344" s="16"/>
      <c r="AT344" s="16"/>
      <c r="AU344" s="16"/>
      <c r="AV344" s="16"/>
      <c r="AW344" s="18"/>
      <c r="AZ344" s="16"/>
      <c r="BB344" s="16">
        <v>0.20399999999999999</v>
      </c>
      <c r="BC344" s="16"/>
      <c r="BD344" s="16"/>
      <c r="BE344" s="16"/>
      <c r="BF344" s="16"/>
      <c r="BG344" s="16"/>
      <c r="BI344" s="16"/>
      <c r="BK344" s="16"/>
      <c r="BM344" s="16">
        <v>0.245</v>
      </c>
      <c r="BO344" s="16"/>
      <c r="BP344" s="16"/>
      <c r="BQ344" s="16"/>
      <c r="BR344" s="16">
        <v>0.30599999999999999</v>
      </c>
      <c r="BS344"/>
      <c r="BU344" s="5"/>
      <c r="CH344" s="44"/>
    </row>
    <row r="345" spans="1:86" x14ac:dyDescent="0.2">
      <c r="A345" s="3" t="s">
        <v>16</v>
      </c>
      <c r="B345" s="41" t="s">
        <v>40</v>
      </c>
      <c r="C345" s="84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15"/>
      <c r="O345" s="16"/>
      <c r="P345" s="15"/>
      <c r="Q345" s="15"/>
      <c r="R345" s="15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K345" s="16"/>
      <c r="AL345" s="16"/>
      <c r="AM345" s="16"/>
      <c r="AN345" s="16"/>
      <c r="AO345" s="16"/>
      <c r="AP345" s="16"/>
      <c r="AQ345" s="16"/>
      <c r="AS345" s="16"/>
      <c r="AT345" s="16"/>
      <c r="AU345" s="16"/>
      <c r="AV345" s="16"/>
      <c r="AW345" s="18"/>
      <c r="AZ345" s="16"/>
      <c r="BB345" s="16"/>
      <c r="BC345" s="16"/>
      <c r="BD345" s="16"/>
      <c r="BE345" s="16"/>
      <c r="BF345" s="16"/>
      <c r="BG345" s="16"/>
      <c r="BI345" s="16"/>
      <c r="BK345" s="16">
        <v>0.28699999999999998</v>
      </c>
      <c r="BM345" s="16"/>
      <c r="BO345" s="16"/>
      <c r="BP345" s="16"/>
      <c r="BQ345" s="16"/>
      <c r="BR345" s="16"/>
      <c r="BS345" s="16">
        <v>0.29899999999999999</v>
      </c>
      <c r="BU345" s="5"/>
      <c r="CH345" s="44"/>
    </row>
    <row r="346" spans="1:86" x14ac:dyDescent="0.2">
      <c r="A346" s="3" t="s">
        <v>16</v>
      </c>
      <c r="B346" s="39">
        <v>540</v>
      </c>
      <c r="C346" s="82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15"/>
      <c r="O346" s="16"/>
      <c r="P346" s="15"/>
      <c r="Q346" s="15"/>
      <c r="R346" s="15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K346" s="16"/>
      <c r="AL346" s="16"/>
      <c r="AM346" s="16"/>
      <c r="AN346" s="16"/>
      <c r="AO346" s="16"/>
      <c r="AP346" s="16"/>
      <c r="AQ346" s="16"/>
      <c r="AS346" s="16"/>
      <c r="AT346" s="16"/>
      <c r="AU346" s="16"/>
      <c r="AV346" s="16"/>
      <c r="AW346" s="18"/>
      <c r="AZ346" s="16"/>
      <c r="BB346" s="16"/>
      <c r="BC346" s="16"/>
      <c r="BD346" s="16"/>
      <c r="BE346" s="16"/>
      <c r="BF346" s="16"/>
      <c r="BG346" s="16"/>
      <c r="BH346" s="16">
        <v>0.221</v>
      </c>
      <c r="BI346" s="16"/>
      <c r="BK346" s="16"/>
      <c r="BM346" s="16"/>
      <c r="BO346" s="16"/>
      <c r="BP346" s="16"/>
      <c r="BQ346" s="16"/>
      <c r="BR346" s="16">
        <v>0.24099999999999999</v>
      </c>
      <c r="BS346" s="16"/>
      <c r="BU346" s="5"/>
      <c r="CH346" s="44"/>
    </row>
    <row r="347" spans="1:86" x14ac:dyDescent="0.2">
      <c r="A347" s="3" t="s">
        <v>16</v>
      </c>
      <c r="B347" s="39">
        <v>541</v>
      </c>
      <c r="C347" s="82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15"/>
      <c r="O347" s="16"/>
      <c r="P347" s="15"/>
      <c r="Q347" s="15"/>
      <c r="R347" s="15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K347" s="16"/>
      <c r="AL347" s="16"/>
      <c r="AM347" s="16"/>
      <c r="AN347" s="16"/>
      <c r="AO347" s="16"/>
      <c r="AP347" s="16"/>
      <c r="AQ347" s="16"/>
      <c r="AS347" s="16"/>
      <c r="AT347" s="16"/>
      <c r="AU347" s="16"/>
      <c r="AV347" s="16"/>
      <c r="AW347" s="18"/>
      <c r="AZ347" s="16"/>
      <c r="BB347" s="16"/>
      <c r="BC347" s="16"/>
      <c r="BD347" s="16"/>
      <c r="BE347" s="16">
        <v>0.73</v>
      </c>
      <c r="BF347" s="16"/>
      <c r="BG347" s="16"/>
      <c r="BH347" s="16"/>
      <c r="BI347" s="16"/>
      <c r="BK347" s="16"/>
      <c r="BM347" s="16"/>
      <c r="BO347" s="16"/>
      <c r="BP347" s="16">
        <v>0.78400000000000003</v>
      </c>
      <c r="BQ347" s="16"/>
      <c r="BR347" s="16"/>
      <c r="BS347" s="16"/>
      <c r="BU347" s="5"/>
      <c r="CH347" s="44"/>
    </row>
    <row r="348" spans="1:86" x14ac:dyDescent="0.2">
      <c r="A348" s="3" t="s">
        <v>16</v>
      </c>
      <c r="B348" s="39">
        <v>542</v>
      </c>
      <c r="C348" s="82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15"/>
      <c r="O348" s="16"/>
      <c r="P348" s="15"/>
      <c r="Q348" s="15"/>
      <c r="R348" s="15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K348" s="16"/>
      <c r="AL348" s="16"/>
      <c r="AM348" s="16"/>
      <c r="AN348" s="16"/>
      <c r="AO348" s="16"/>
      <c r="AP348" s="16"/>
      <c r="AQ348" s="16"/>
      <c r="AS348" s="16"/>
      <c r="AT348" s="16"/>
      <c r="AU348" s="16"/>
      <c r="AV348" s="16"/>
      <c r="AW348" s="18"/>
      <c r="AZ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>
        <v>0.29599999999999999</v>
      </c>
      <c r="BM348" s="16">
        <v>0.28999999999999998</v>
      </c>
      <c r="BO348" s="16">
        <v>0.307</v>
      </c>
      <c r="BP348"/>
      <c r="BQ348" s="16">
        <v>0.29899999999999999</v>
      </c>
      <c r="BR348"/>
      <c r="BS348" s="16">
        <v>0.30599999999999999</v>
      </c>
      <c r="BU348" s="16">
        <v>0.29499999999999998</v>
      </c>
      <c r="CH348" s="44"/>
    </row>
    <row r="349" spans="1:86" x14ac:dyDescent="0.2">
      <c r="A349" s="3" t="s">
        <v>16</v>
      </c>
      <c r="B349" s="39">
        <v>542</v>
      </c>
      <c r="C349" s="82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15"/>
      <c r="O349" s="16"/>
      <c r="P349" s="15"/>
      <c r="Q349" s="15"/>
      <c r="R349" s="15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K349" s="16"/>
      <c r="AL349" s="16"/>
      <c r="AM349" s="16"/>
      <c r="AN349" s="16"/>
      <c r="AO349" s="16"/>
      <c r="AP349" s="16"/>
      <c r="AQ349" s="16"/>
      <c r="AS349" s="16"/>
      <c r="AT349" s="16"/>
      <c r="AU349" s="16"/>
      <c r="AV349" s="16"/>
      <c r="AW349" s="18"/>
      <c r="AZ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>
        <v>0.55800000000000005</v>
      </c>
      <c r="BM349" s="16">
        <v>0.54</v>
      </c>
      <c r="BO349" s="16">
        <v>0.55700000000000005</v>
      </c>
      <c r="BP349"/>
      <c r="BQ349" s="16">
        <v>0.54900000000000004</v>
      </c>
      <c r="BR349"/>
      <c r="BS349" s="16">
        <v>0.54200000000000004</v>
      </c>
      <c r="BU349" s="16">
        <v>0.52600000000000002</v>
      </c>
      <c r="CH349" s="44"/>
    </row>
    <row r="350" spans="1:86" x14ac:dyDescent="0.2">
      <c r="A350" s="3" t="s">
        <v>16</v>
      </c>
      <c r="B350" s="39">
        <v>543</v>
      </c>
      <c r="C350" s="82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15"/>
      <c r="O350" s="16"/>
      <c r="P350" s="15"/>
      <c r="Q350" s="15"/>
      <c r="R350" s="15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K350" s="16"/>
      <c r="AL350" s="16"/>
      <c r="AM350" s="16"/>
      <c r="AN350" s="16"/>
      <c r="AO350" s="16"/>
      <c r="AP350" s="16"/>
      <c r="AQ350" s="16"/>
      <c r="AS350" s="16"/>
      <c r="AT350" s="16"/>
      <c r="AU350" s="16"/>
      <c r="AV350" s="16"/>
      <c r="AW350" s="18"/>
      <c r="AZ350" s="16"/>
      <c r="BB350" s="16"/>
      <c r="BC350" s="16"/>
      <c r="BD350" s="16"/>
      <c r="BE350" s="16">
        <v>8.7999999999999995E-2</v>
      </c>
      <c r="BF350" s="16"/>
      <c r="BG350" s="16"/>
      <c r="BH350" s="16"/>
      <c r="BI350" s="16"/>
      <c r="BJ350" s="16"/>
      <c r="BK350" s="16"/>
      <c r="BM350" s="16"/>
      <c r="BO350" s="16">
        <v>0.14499999999999999</v>
      </c>
      <c r="BP350"/>
      <c r="BQ350" s="16"/>
      <c r="BR350"/>
      <c r="BS350" s="16">
        <v>0.20699999999999999</v>
      </c>
      <c r="BU350" s="16"/>
      <c r="CH350" s="44"/>
    </row>
    <row r="351" spans="1:86" x14ac:dyDescent="0.2">
      <c r="A351" s="3" t="s">
        <v>16</v>
      </c>
      <c r="B351" s="39">
        <v>544</v>
      </c>
      <c r="C351" s="82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15"/>
      <c r="O351" s="16"/>
      <c r="P351" s="15"/>
      <c r="Q351" s="15"/>
      <c r="R351" s="15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K351" s="16"/>
      <c r="AL351" s="16"/>
      <c r="AM351" s="16"/>
      <c r="AN351" s="16"/>
      <c r="AO351" s="16"/>
      <c r="AP351" s="16"/>
      <c r="AQ351" s="16"/>
      <c r="AS351" s="16"/>
      <c r="AT351" s="16"/>
      <c r="AU351" s="16"/>
      <c r="AV351" s="16"/>
      <c r="AW351" s="18"/>
      <c r="AZ351" s="16"/>
      <c r="BB351" s="16">
        <v>0.29399999999999998</v>
      </c>
      <c r="BD351" s="16">
        <v>0.33200000000000002</v>
      </c>
      <c r="BH351" s="16">
        <v>0.36599999999999999</v>
      </c>
      <c r="BK351" s="16">
        <v>0.38200000000000001</v>
      </c>
      <c r="BO351" s="16">
        <v>0.40600000000000003</v>
      </c>
      <c r="BP351"/>
      <c r="BQ351" s="16">
        <v>0.41</v>
      </c>
      <c r="BR351"/>
      <c r="BS351" s="16"/>
      <c r="BT351" s="16">
        <v>0.38700000000000001</v>
      </c>
      <c r="BU351" s="16"/>
      <c r="CH351" s="44"/>
    </row>
    <row r="352" spans="1:86" x14ac:dyDescent="0.2">
      <c r="A352" s="3" t="s">
        <v>16</v>
      </c>
      <c r="B352" s="39">
        <v>544</v>
      </c>
      <c r="C352" s="82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15"/>
      <c r="O352" s="16"/>
      <c r="P352" s="15"/>
      <c r="Q352" s="15"/>
      <c r="R352" s="15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K352" s="16"/>
      <c r="AL352" s="16"/>
      <c r="AM352" s="16"/>
      <c r="AN352" s="16"/>
      <c r="AO352" s="16"/>
      <c r="AP352" s="16"/>
      <c r="AQ352" s="16"/>
      <c r="AS352" s="16"/>
      <c r="AT352" s="16"/>
      <c r="AU352" s="16"/>
      <c r="AV352" s="16"/>
      <c r="AW352" s="18"/>
      <c r="AZ352" s="16"/>
      <c r="BB352" s="16">
        <v>0.14499999999999999</v>
      </c>
      <c r="BD352" s="16">
        <v>0.155</v>
      </c>
      <c r="BH352" s="16">
        <v>0.17899999999999999</v>
      </c>
      <c r="BK352" s="16">
        <v>0.182</v>
      </c>
      <c r="BO352" s="16">
        <v>0.191</v>
      </c>
      <c r="BP352"/>
      <c r="BQ352" s="16">
        <v>0.17799999999999999</v>
      </c>
      <c r="BR352"/>
      <c r="BS352" s="16"/>
      <c r="BT352" s="16">
        <v>0.214</v>
      </c>
      <c r="BU352" s="16"/>
      <c r="CH352" s="44"/>
    </row>
    <row r="353" spans="1:86" x14ac:dyDescent="0.2">
      <c r="A353" s="3" t="s">
        <v>16</v>
      </c>
      <c r="B353" s="39">
        <v>545</v>
      </c>
      <c r="C353" s="82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15"/>
      <c r="O353" s="16"/>
      <c r="P353" s="15"/>
      <c r="Q353" s="15"/>
      <c r="R353" s="15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K353" s="16"/>
      <c r="AL353" s="16"/>
      <c r="AM353" s="16"/>
      <c r="AN353" s="16"/>
      <c r="AO353" s="16"/>
      <c r="AP353" s="16"/>
      <c r="AQ353" s="16"/>
      <c r="AS353" s="16"/>
      <c r="AT353" s="16"/>
      <c r="AU353" s="16"/>
      <c r="AV353" s="16"/>
      <c r="AW353" s="18"/>
      <c r="AZ353" s="16"/>
      <c r="BB353" s="16"/>
      <c r="BD353" s="16"/>
      <c r="BE353" s="16">
        <v>0.158</v>
      </c>
      <c r="BH353" s="16"/>
      <c r="BK353" s="16"/>
      <c r="BO353" s="16"/>
      <c r="BP353"/>
      <c r="BQ353" s="16"/>
      <c r="BR353"/>
      <c r="BS353" s="16">
        <v>0.192</v>
      </c>
      <c r="BT353" s="16"/>
      <c r="BU353" s="16"/>
      <c r="CH353" s="44"/>
    </row>
    <row r="354" spans="1:86" x14ac:dyDescent="0.2">
      <c r="A354" s="3" t="s">
        <v>16</v>
      </c>
      <c r="B354" s="39">
        <v>545</v>
      </c>
      <c r="C354" s="82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15"/>
      <c r="O354" s="16"/>
      <c r="P354" s="15"/>
      <c r="Q354" s="15"/>
      <c r="R354" s="15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K354" s="16"/>
      <c r="AL354" s="16"/>
      <c r="AM354" s="16"/>
      <c r="AN354" s="16"/>
      <c r="AO354" s="16"/>
      <c r="AP354" s="16"/>
      <c r="AQ354" s="16"/>
      <c r="AS354" s="16"/>
      <c r="AT354" s="16"/>
      <c r="AU354" s="16"/>
      <c r="AV354" s="16"/>
      <c r="AW354" s="18"/>
      <c r="AZ354" s="16"/>
      <c r="BB354" s="16"/>
      <c r="BD354" s="16"/>
      <c r="BE354" s="16">
        <v>8.2000000000000003E-2</v>
      </c>
      <c r="BH354" s="16"/>
      <c r="BK354" s="16"/>
      <c r="BO354" s="16"/>
      <c r="BP354"/>
      <c r="BQ354" s="16"/>
      <c r="BR354"/>
      <c r="BS354" s="16">
        <v>0.126</v>
      </c>
      <c r="BT354" s="16"/>
      <c r="BU354" s="16"/>
      <c r="CH354" s="44"/>
    </row>
    <row r="355" spans="1:86" x14ac:dyDescent="0.2">
      <c r="A355" s="3" t="s">
        <v>16</v>
      </c>
      <c r="B355" s="39">
        <v>546</v>
      </c>
      <c r="C355" s="82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15"/>
      <c r="O355" s="16"/>
      <c r="P355" s="15"/>
      <c r="Q355" s="15"/>
      <c r="R355" s="15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K355" s="16"/>
      <c r="AL355" s="16"/>
      <c r="AM355" s="16"/>
      <c r="AN355" s="16"/>
      <c r="AO355" s="16"/>
      <c r="AP355" s="16"/>
      <c r="AQ355" s="16"/>
      <c r="AS355" s="16"/>
      <c r="AT355" s="16"/>
      <c r="AU355" s="16"/>
      <c r="AV355" s="16"/>
      <c r="AW355" s="18"/>
      <c r="AZ355" s="16"/>
      <c r="BB355" s="16">
        <v>0.14499999999999999</v>
      </c>
      <c r="BD355" s="16"/>
      <c r="BE355" s="16"/>
      <c r="BH355" s="16"/>
      <c r="BK355" s="16"/>
      <c r="BO355" s="16"/>
      <c r="BP355"/>
      <c r="BQ355" s="16"/>
      <c r="BR355"/>
      <c r="BS355" s="16">
        <v>0.26600000000000001</v>
      </c>
      <c r="BT355" s="16"/>
      <c r="BU355" s="16"/>
      <c r="CH355" s="44"/>
    </row>
    <row r="356" spans="1:86" x14ac:dyDescent="0.2">
      <c r="A356" s="3" t="s">
        <v>16</v>
      </c>
      <c r="B356" s="39">
        <v>547</v>
      </c>
      <c r="C356" s="82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15"/>
      <c r="O356" s="16"/>
      <c r="P356" s="15"/>
      <c r="Q356" s="15"/>
      <c r="R356" s="15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K356" s="16"/>
      <c r="AL356" s="16"/>
      <c r="AM356" s="16"/>
      <c r="AN356" s="16"/>
      <c r="AO356" s="16"/>
      <c r="AP356" s="16"/>
      <c r="AQ356" s="16"/>
      <c r="AS356" s="16"/>
      <c r="AT356" s="16"/>
      <c r="AU356" s="16"/>
      <c r="AV356" s="16"/>
      <c r="AW356" s="18"/>
      <c r="AZ356" s="16"/>
      <c r="BB356" s="16"/>
      <c r="BD356" s="16"/>
      <c r="BE356" s="16"/>
      <c r="BH356" s="16"/>
      <c r="BK356" s="16"/>
      <c r="BL356" s="16">
        <v>0.32579999999999998</v>
      </c>
      <c r="BO356" s="16"/>
      <c r="BP356"/>
      <c r="BQ356" s="16"/>
      <c r="BR356"/>
      <c r="BS356" s="16"/>
      <c r="BT356" s="16">
        <v>0.37559999999999999</v>
      </c>
      <c r="BU356" s="16"/>
      <c r="CH356" s="44"/>
    </row>
    <row r="357" spans="1:86" x14ac:dyDescent="0.2">
      <c r="A357" s="3" t="s">
        <v>16</v>
      </c>
      <c r="B357" s="39">
        <v>547</v>
      </c>
      <c r="C357" s="82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15"/>
      <c r="O357" s="16"/>
      <c r="P357" s="15"/>
      <c r="Q357" s="15"/>
      <c r="R357" s="15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K357" s="16"/>
      <c r="AL357" s="16"/>
      <c r="AM357" s="16"/>
      <c r="AN357" s="16"/>
      <c r="AO357" s="16"/>
      <c r="AP357" s="16"/>
      <c r="AQ357" s="16"/>
      <c r="AS357" s="16"/>
      <c r="AT357" s="16"/>
      <c r="AU357" s="16"/>
      <c r="AV357" s="16"/>
      <c r="AW357" s="18"/>
      <c r="AZ357" s="16"/>
      <c r="BB357" s="16"/>
      <c r="BD357" s="16"/>
      <c r="BE357" s="16"/>
      <c r="BH357" s="16"/>
      <c r="BK357" s="16"/>
      <c r="BL357" s="16">
        <v>0.36940000000000001</v>
      </c>
      <c r="BO357" s="16"/>
      <c r="BP357"/>
      <c r="BQ357" s="16"/>
      <c r="BR357"/>
      <c r="BS357" s="16"/>
      <c r="BT357" s="16">
        <v>0.40079999999999999</v>
      </c>
      <c r="BU357" s="16"/>
      <c r="CH357" s="44"/>
    </row>
    <row r="358" spans="1:86" x14ac:dyDescent="0.2">
      <c r="A358" s="3" t="s">
        <v>16</v>
      </c>
      <c r="B358" s="39">
        <v>548</v>
      </c>
      <c r="C358" s="82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15"/>
      <c r="O358" s="16"/>
      <c r="P358" s="15"/>
      <c r="Q358" s="15"/>
      <c r="R358" s="15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K358" s="16"/>
      <c r="AL358" s="16"/>
      <c r="AM358" s="16"/>
      <c r="AN358" s="16"/>
      <c r="AO358" s="16"/>
      <c r="AP358" s="16"/>
      <c r="AQ358" s="16"/>
      <c r="AS358" s="16"/>
      <c r="AT358" s="16"/>
      <c r="AU358" s="16"/>
      <c r="AV358" s="16"/>
      <c r="AW358" s="18"/>
      <c r="AZ358" s="16"/>
      <c r="BB358" s="16"/>
      <c r="BD358" s="16"/>
      <c r="BE358" s="16">
        <v>0.69199999999999995</v>
      </c>
      <c r="BH358" s="16"/>
      <c r="BK358" s="16"/>
      <c r="BL358" s="16"/>
      <c r="BO358" s="16">
        <v>0.76500000000000001</v>
      </c>
      <c r="BP358"/>
      <c r="BQ358" s="16"/>
      <c r="BR358"/>
      <c r="BS358" s="16"/>
      <c r="BT358" s="16"/>
      <c r="BU358" s="16">
        <v>0.76500000000000001</v>
      </c>
      <c r="CH358" s="44"/>
    </row>
    <row r="359" spans="1:86" x14ac:dyDescent="0.2">
      <c r="A359" s="3" t="s">
        <v>16</v>
      </c>
      <c r="B359" s="39">
        <v>549</v>
      </c>
      <c r="C359" s="82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15"/>
      <c r="O359" s="16"/>
      <c r="P359" s="15"/>
      <c r="Q359" s="15"/>
      <c r="R359" s="15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K359" s="16"/>
      <c r="AL359" s="16"/>
      <c r="AM359" s="16"/>
      <c r="AN359" s="16"/>
      <c r="AO359" s="16"/>
      <c r="AP359" s="16"/>
      <c r="AQ359" s="16"/>
      <c r="AS359" s="16"/>
      <c r="AT359" s="16"/>
      <c r="AU359" s="16"/>
      <c r="AV359" s="16"/>
      <c r="AW359" s="18"/>
      <c r="AZ359" s="16"/>
      <c r="BB359" s="16">
        <v>0.39900000000000002</v>
      </c>
      <c r="BD359" s="16"/>
      <c r="BE359" s="16"/>
      <c r="BH359" s="16"/>
      <c r="BK359" s="16"/>
      <c r="BL359" s="16"/>
      <c r="BO359" s="16"/>
      <c r="BP359"/>
      <c r="BQ359" s="16"/>
      <c r="BR359"/>
      <c r="BS359" s="16"/>
      <c r="BT359" s="16"/>
      <c r="BV359" s="16">
        <v>0.51700000000000002</v>
      </c>
      <c r="CH359" s="44"/>
    </row>
    <row r="360" spans="1:86" x14ac:dyDescent="0.2">
      <c r="A360" s="3" t="s">
        <v>16</v>
      </c>
      <c r="B360" s="39">
        <v>550</v>
      </c>
      <c r="C360" s="82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15"/>
      <c r="O360" s="16"/>
      <c r="P360" s="15"/>
      <c r="Q360" s="15"/>
      <c r="R360" s="15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K360" s="16"/>
      <c r="AL360" s="16"/>
      <c r="AM360" s="16"/>
      <c r="AN360" s="16"/>
      <c r="AO360" s="16"/>
      <c r="AP360" s="16"/>
      <c r="AQ360" s="16"/>
      <c r="AS360" s="16"/>
      <c r="AT360" s="16"/>
      <c r="AU360" s="16"/>
      <c r="AV360" s="16"/>
      <c r="AW360" s="18"/>
      <c r="AZ360" s="16"/>
      <c r="BB360" s="16"/>
      <c r="BD360" s="16"/>
      <c r="BE360" s="16"/>
      <c r="BH360" s="16"/>
      <c r="BK360" s="16">
        <v>0.28399999999999997</v>
      </c>
      <c r="BM360" s="16">
        <v>0.27900000000000003</v>
      </c>
      <c r="BO360" s="16">
        <v>0.29899999999999999</v>
      </c>
      <c r="BP360"/>
      <c r="BQ360" s="16">
        <v>0.29099999999999998</v>
      </c>
      <c r="BR360"/>
      <c r="BS360" s="16">
        <v>0.29599999999999999</v>
      </c>
      <c r="BU360" s="16">
        <v>0.28599999999999998</v>
      </c>
      <c r="BW360" s="16">
        <v>0.28699999999999998</v>
      </c>
      <c r="BY360" s="16">
        <v>0.29299999999999998</v>
      </c>
      <c r="CH360" s="44"/>
    </row>
    <row r="361" spans="1:86" x14ac:dyDescent="0.2">
      <c r="A361" s="3" t="s">
        <v>16</v>
      </c>
      <c r="B361" s="39">
        <v>551</v>
      </c>
      <c r="C361" s="82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15"/>
      <c r="O361" s="16"/>
      <c r="P361" s="15"/>
      <c r="Q361" s="15"/>
      <c r="R361" s="15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K361" s="16"/>
      <c r="AL361" s="16"/>
      <c r="AM361" s="16"/>
      <c r="AN361" s="16"/>
      <c r="AO361" s="16"/>
      <c r="AP361" s="16"/>
      <c r="AQ361" s="16"/>
      <c r="AS361" s="16"/>
      <c r="AT361" s="16"/>
      <c r="AU361" s="16"/>
      <c r="AV361" s="16"/>
      <c r="AW361" s="18"/>
      <c r="AZ361" s="16"/>
      <c r="BB361" s="16"/>
      <c r="BD361" s="16"/>
      <c r="BE361" s="16"/>
      <c r="BH361" s="16"/>
      <c r="BK361" s="16"/>
      <c r="BM361" s="16"/>
      <c r="BO361" s="16"/>
      <c r="BP361"/>
      <c r="BQ361" s="16"/>
      <c r="BR361" s="16">
        <v>0.45700000000000002</v>
      </c>
      <c r="BS361" s="16"/>
      <c r="BU361" s="16"/>
      <c r="BW361" s="16"/>
      <c r="BY361" s="16"/>
      <c r="BZ361" s="16">
        <v>0.50600000000000001</v>
      </c>
      <c r="CH361" s="44"/>
    </row>
    <row r="362" spans="1:86" x14ac:dyDescent="0.2">
      <c r="A362" s="3" t="s">
        <v>16</v>
      </c>
      <c r="B362" s="39">
        <v>141</v>
      </c>
      <c r="C362" s="82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15"/>
      <c r="O362" s="16"/>
      <c r="P362" s="15"/>
      <c r="Q362" s="15"/>
      <c r="R362" s="15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K362" s="16"/>
      <c r="AL362" s="16"/>
      <c r="AM362" s="16"/>
      <c r="AN362" s="16"/>
      <c r="AO362" s="16"/>
      <c r="AP362" s="16"/>
      <c r="AQ362" s="16"/>
      <c r="AS362" s="16"/>
      <c r="AT362" s="16"/>
      <c r="AU362" s="16"/>
      <c r="AV362" s="16"/>
      <c r="AW362" s="18"/>
      <c r="AZ362" s="16"/>
      <c r="BB362" s="16"/>
      <c r="BD362" s="16"/>
      <c r="BE362" s="16"/>
      <c r="BH362" s="16"/>
      <c r="BK362" s="16"/>
      <c r="BL362" s="16">
        <v>0.60099999999999998</v>
      </c>
      <c r="BM362" s="16"/>
      <c r="BO362" s="16"/>
      <c r="BP362"/>
      <c r="BQ362" s="16"/>
      <c r="BR362" s="16"/>
      <c r="BS362" s="16"/>
      <c r="BU362" s="16">
        <v>0.65200000000000002</v>
      </c>
      <c r="BW362" s="16"/>
      <c r="BY362" s="16"/>
      <c r="BZ362" s="16"/>
      <c r="CH362" s="44"/>
    </row>
    <row r="363" spans="1:86" x14ac:dyDescent="0.2">
      <c r="A363" s="3" t="s">
        <v>16</v>
      </c>
      <c r="B363" s="39">
        <v>552</v>
      </c>
      <c r="C363" s="82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15"/>
      <c r="O363" s="16"/>
      <c r="P363" s="15"/>
      <c r="Q363" s="15"/>
      <c r="R363" s="15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K363" s="16"/>
      <c r="AL363" s="16"/>
      <c r="AM363" s="16"/>
      <c r="AN363" s="16"/>
      <c r="AO363" s="16"/>
      <c r="AP363" s="16"/>
      <c r="AQ363" s="16"/>
      <c r="AS363" s="16"/>
      <c r="AT363" s="16"/>
      <c r="AU363" s="16"/>
      <c r="AV363" s="16"/>
      <c r="AW363" s="18"/>
      <c r="AZ363" s="16"/>
      <c r="BB363" s="16"/>
      <c r="BD363" s="16"/>
      <c r="BE363" s="16"/>
      <c r="BH363" s="16"/>
      <c r="BI363" s="16">
        <v>0.44500000000000001</v>
      </c>
      <c r="BK363" s="16"/>
      <c r="BL363" s="16"/>
      <c r="BM363" s="16"/>
      <c r="BO363" s="16"/>
      <c r="BP363"/>
      <c r="BQ363" s="16"/>
      <c r="BR363" s="16"/>
      <c r="BS363" s="16"/>
      <c r="BU363" s="16"/>
      <c r="BV363" s="16">
        <v>0.436</v>
      </c>
      <c r="BW363" s="16"/>
      <c r="BY363" s="16"/>
      <c r="BZ363" s="16"/>
      <c r="CH363" s="44"/>
    </row>
    <row r="364" spans="1:86" x14ac:dyDescent="0.2">
      <c r="A364" s="3" t="s">
        <v>16</v>
      </c>
      <c r="B364" s="39">
        <v>552</v>
      </c>
      <c r="C364" s="82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15"/>
      <c r="O364" s="16"/>
      <c r="P364" s="15"/>
      <c r="Q364" s="15"/>
      <c r="R364" s="15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K364" s="16"/>
      <c r="AL364" s="16"/>
      <c r="AM364" s="16"/>
      <c r="AN364" s="16"/>
      <c r="AO364" s="16"/>
      <c r="AP364" s="16"/>
      <c r="AQ364" s="16"/>
      <c r="AS364" s="16"/>
      <c r="AT364" s="16"/>
      <c r="AU364" s="16"/>
      <c r="AV364" s="16"/>
      <c r="AW364" s="18"/>
      <c r="AZ364" s="16"/>
      <c r="BB364" s="16"/>
      <c r="BD364" s="16"/>
      <c r="BE364" s="16"/>
      <c r="BH364" s="16"/>
      <c r="BI364" s="16">
        <v>0.29799999999999999</v>
      </c>
      <c r="BK364" s="16"/>
      <c r="BL364" s="16"/>
      <c r="BM364" s="16"/>
      <c r="BO364" s="16"/>
      <c r="BP364"/>
      <c r="BQ364" s="16"/>
      <c r="BR364" s="16"/>
      <c r="BS364" s="16"/>
      <c r="BU364" s="16"/>
      <c r="BV364" s="16">
        <v>0.316</v>
      </c>
      <c r="BW364" s="16"/>
      <c r="BY364" s="16"/>
      <c r="BZ364" s="16"/>
      <c r="CH364" s="44"/>
    </row>
    <row r="365" spans="1:86" x14ac:dyDescent="0.2">
      <c r="A365" s="3" t="s">
        <v>16</v>
      </c>
      <c r="B365" s="39">
        <v>553</v>
      </c>
      <c r="C365" s="82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15"/>
      <c r="O365" s="16"/>
      <c r="P365" s="15"/>
      <c r="Q365" s="15"/>
      <c r="R365" s="15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K365" s="16"/>
      <c r="AL365" s="16"/>
      <c r="AM365" s="16"/>
      <c r="AN365" s="16"/>
      <c r="AO365" s="16"/>
      <c r="AP365" s="16"/>
      <c r="AQ365" s="16"/>
      <c r="AS365" s="16"/>
      <c r="AT365" s="16"/>
      <c r="AU365" s="16"/>
      <c r="AV365" s="16"/>
      <c r="AW365" s="18"/>
      <c r="AZ365" s="16"/>
      <c r="BB365" s="16">
        <v>0.23400000000000001</v>
      </c>
      <c r="BD365" s="16"/>
      <c r="BE365" s="16"/>
      <c r="BH365" s="16"/>
      <c r="BI365" s="16"/>
      <c r="BL365" s="16"/>
      <c r="BM365" s="16"/>
      <c r="BO365" s="16"/>
      <c r="BP365"/>
      <c r="BQ365" s="16"/>
      <c r="BR365" s="16"/>
      <c r="BS365" s="16"/>
      <c r="BU365" s="16"/>
      <c r="BV365" s="16">
        <v>0.28599999999999998</v>
      </c>
      <c r="BW365" s="16"/>
      <c r="BY365" s="16"/>
      <c r="BZ365" s="16"/>
      <c r="CH365" s="44"/>
    </row>
    <row r="366" spans="1:86" x14ac:dyDescent="0.2">
      <c r="A366" s="3" t="s">
        <v>16</v>
      </c>
      <c r="B366" s="39">
        <v>554</v>
      </c>
      <c r="C366" s="82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15"/>
      <c r="O366" s="16"/>
      <c r="P366" s="15"/>
      <c r="Q366" s="15"/>
      <c r="R366" s="15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K366" s="16"/>
      <c r="AL366" s="16"/>
      <c r="AM366" s="16"/>
      <c r="AN366" s="16"/>
      <c r="AO366" s="16"/>
      <c r="AP366" s="16"/>
      <c r="AQ366" s="16"/>
      <c r="AS366" s="16"/>
      <c r="AT366" s="16"/>
      <c r="AU366" s="16"/>
      <c r="AV366" s="16"/>
      <c r="AW366" s="18"/>
      <c r="AZ366" s="16"/>
      <c r="BB366" s="16"/>
      <c r="BD366" s="16"/>
      <c r="BE366" s="16"/>
      <c r="BG366" s="16">
        <v>0.32900000000000001</v>
      </c>
      <c r="BH366" s="16"/>
      <c r="BI366" s="16"/>
      <c r="BL366" s="16"/>
      <c r="BM366" s="16"/>
      <c r="BO366" s="16"/>
      <c r="BP366"/>
      <c r="BQ366" s="16">
        <v>0.42599999999999999</v>
      </c>
      <c r="BR366" s="16"/>
      <c r="BS366" s="16"/>
      <c r="BU366" s="16"/>
      <c r="BV366" s="16">
        <v>0.435</v>
      </c>
      <c r="BW366" s="16"/>
      <c r="BY366" s="16"/>
      <c r="BZ366" s="16"/>
      <c r="CH366" s="44"/>
    </row>
    <row r="367" spans="1:86" x14ac:dyDescent="0.2">
      <c r="A367" s="3" t="s">
        <v>16</v>
      </c>
      <c r="B367" s="39">
        <v>555</v>
      </c>
      <c r="C367" s="82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15"/>
      <c r="O367" s="16"/>
      <c r="P367" s="15"/>
      <c r="Q367" s="15"/>
      <c r="R367" s="15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K367" s="16"/>
      <c r="AL367" s="16"/>
      <c r="AM367" s="16"/>
      <c r="AN367" s="16"/>
      <c r="AO367" s="16"/>
      <c r="AP367" s="16"/>
      <c r="AQ367" s="16"/>
      <c r="AS367" s="16"/>
      <c r="AT367" s="16"/>
      <c r="AU367" s="16"/>
      <c r="AV367" s="16"/>
      <c r="AW367" s="18"/>
      <c r="AZ367" s="16"/>
      <c r="BB367" s="16"/>
      <c r="BD367" s="16"/>
      <c r="BE367" s="16"/>
      <c r="BG367" s="16"/>
      <c r="BH367" s="16"/>
      <c r="BI367" s="16"/>
      <c r="BL367" s="16"/>
      <c r="BM367" s="16"/>
      <c r="BN367" s="16">
        <v>0.318</v>
      </c>
      <c r="BO367" s="16"/>
      <c r="BP367"/>
      <c r="BQ367" s="16"/>
      <c r="BR367" s="16"/>
      <c r="BS367" s="16"/>
      <c r="BU367" s="16"/>
      <c r="BV367" s="16"/>
      <c r="BW367" s="16">
        <v>0.30299999999999999</v>
      </c>
      <c r="BY367" s="16"/>
      <c r="BZ367" s="16"/>
      <c r="CH367" s="44"/>
    </row>
    <row r="368" spans="1:86" x14ac:dyDescent="0.2">
      <c r="A368" s="3" t="s">
        <v>16</v>
      </c>
      <c r="B368" s="39">
        <v>556</v>
      </c>
      <c r="C368" s="82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15"/>
      <c r="O368" s="16"/>
      <c r="P368" s="15"/>
      <c r="Q368" s="15"/>
      <c r="R368" s="15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K368" s="16"/>
      <c r="AL368" s="16"/>
      <c r="AM368" s="16"/>
      <c r="AN368" s="16"/>
      <c r="AO368" s="16"/>
      <c r="AP368" s="16"/>
      <c r="AQ368" s="16"/>
      <c r="AS368" s="16"/>
      <c r="AT368" s="16"/>
      <c r="AU368" s="16"/>
      <c r="AV368" s="16"/>
      <c r="AW368" s="18"/>
      <c r="AZ368" s="16"/>
      <c r="BB368" s="16">
        <v>0.156</v>
      </c>
      <c r="BD368" s="16"/>
      <c r="BE368" s="16"/>
      <c r="BG368" s="16"/>
      <c r="BH368" s="16"/>
      <c r="BI368" s="16"/>
      <c r="BL368" s="16"/>
      <c r="BM368" s="16"/>
      <c r="BN368" s="16"/>
      <c r="BO368" s="16"/>
      <c r="BP368"/>
      <c r="BQ368" s="16"/>
      <c r="BR368" s="16"/>
      <c r="BS368" s="16"/>
      <c r="BU368" s="16"/>
      <c r="BV368" s="16">
        <v>0.20899999999999999</v>
      </c>
      <c r="BW368" s="16"/>
      <c r="BY368" s="16"/>
      <c r="BZ368" s="16"/>
      <c r="CH368" s="44"/>
    </row>
    <row r="369" spans="1:86" x14ac:dyDescent="0.2">
      <c r="A369" s="3" t="s">
        <v>16</v>
      </c>
      <c r="B369" s="41" t="s">
        <v>41</v>
      </c>
      <c r="C369" s="84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15"/>
      <c r="O369" s="16"/>
      <c r="P369" s="15"/>
      <c r="Q369" s="15"/>
      <c r="R369" s="15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K369" s="16"/>
      <c r="AL369" s="16"/>
      <c r="AM369" s="16"/>
      <c r="AN369" s="16"/>
      <c r="AO369" s="16"/>
      <c r="AP369" s="16"/>
      <c r="AQ369" s="16"/>
      <c r="AS369" s="16"/>
      <c r="AT369" s="16"/>
      <c r="AU369" s="16"/>
      <c r="AV369" s="16"/>
      <c r="AW369" s="18"/>
      <c r="AZ369" s="16"/>
      <c r="BB369" s="16"/>
      <c r="BD369" s="16"/>
      <c r="BE369" s="16"/>
      <c r="BG369" s="16"/>
      <c r="BH369" s="16"/>
      <c r="BI369" s="16"/>
      <c r="BL369" s="16"/>
      <c r="BM369" s="16"/>
      <c r="BN369" s="16"/>
      <c r="BO369" s="16"/>
      <c r="BP369"/>
      <c r="BQ369" s="16"/>
      <c r="BR369" s="16"/>
      <c r="BS369" s="16"/>
      <c r="BU369" s="16"/>
      <c r="BV369" s="16"/>
      <c r="BW369" s="16"/>
      <c r="BY369" s="16">
        <v>0.29299999999999998</v>
      </c>
      <c r="BZ369" s="16"/>
      <c r="CA369" s="16">
        <v>0.28999999999999998</v>
      </c>
      <c r="CH369" s="44"/>
    </row>
    <row r="370" spans="1:86" x14ac:dyDescent="0.2">
      <c r="A370" s="3" t="s">
        <v>16</v>
      </c>
      <c r="B370" s="39">
        <v>558</v>
      </c>
      <c r="C370" s="82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15"/>
      <c r="O370" s="16"/>
      <c r="P370" s="15"/>
      <c r="Q370" s="15"/>
      <c r="R370" s="15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>
        <v>0.66</v>
      </c>
      <c r="AL370" s="16">
        <v>0.69</v>
      </c>
      <c r="AP370" s="16">
        <v>0.57999999999999996</v>
      </c>
      <c r="AT370" s="16">
        <v>0.56999999999999995</v>
      </c>
      <c r="AX370" s="16">
        <v>0.49</v>
      </c>
      <c r="BB370" s="16">
        <v>0.51</v>
      </c>
      <c r="BF370" s="16">
        <v>0.51</v>
      </c>
      <c r="BJ370" s="16">
        <v>0.4</v>
      </c>
      <c r="BN370" s="16"/>
      <c r="BO370" s="16">
        <v>0.39</v>
      </c>
      <c r="BP370"/>
      <c r="BR370" s="16"/>
      <c r="BS370" s="16">
        <v>0.37</v>
      </c>
      <c r="BU370" s="16"/>
      <c r="BV370" s="16"/>
      <c r="BW370" s="16"/>
      <c r="BX370" s="16">
        <v>0.37</v>
      </c>
      <c r="BY370" s="16"/>
      <c r="BZ370" s="16"/>
      <c r="CA370" s="16"/>
      <c r="CH370" s="44"/>
    </row>
    <row r="371" spans="1:86" x14ac:dyDescent="0.2">
      <c r="A371" s="3" t="s">
        <v>16</v>
      </c>
      <c r="B371" s="39">
        <v>558</v>
      </c>
      <c r="C371" s="82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15"/>
      <c r="O371" s="16"/>
      <c r="P371" s="15"/>
      <c r="Q371" s="15"/>
      <c r="R371" s="15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>
        <v>0.49</v>
      </c>
      <c r="AL371" s="16">
        <v>0.32</v>
      </c>
      <c r="AP371" s="16">
        <v>0.21</v>
      </c>
      <c r="AT371" s="16">
        <v>0.22</v>
      </c>
      <c r="AX371" s="16">
        <v>0.22</v>
      </c>
      <c r="BB371" s="16">
        <v>0.22</v>
      </c>
      <c r="BF371" s="16">
        <v>0.22</v>
      </c>
      <c r="BJ371" s="16">
        <v>0.18</v>
      </c>
      <c r="BN371" s="16"/>
      <c r="BO371" s="16">
        <v>0.2</v>
      </c>
      <c r="BP371"/>
      <c r="BR371" s="16"/>
      <c r="BS371" s="16">
        <v>0.18</v>
      </c>
      <c r="BU371" s="16"/>
      <c r="BV371" s="16"/>
      <c r="BW371" s="16"/>
      <c r="BX371" s="16">
        <v>0.18</v>
      </c>
      <c r="BY371" s="16"/>
      <c r="BZ371" s="16"/>
      <c r="CA371" s="16"/>
      <c r="CH371" s="44"/>
    </row>
    <row r="372" spans="1:86" x14ac:dyDescent="0.2">
      <c r="A372" s="3" t="s">
        <v>16</v>
      </c>
      <c r="B372" s="39">
        <v>559</v>
      </c>
      <c r="C372" s="82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15"/>
      <c r="O372" s="16"/>
      <c r="P372" s="15"/>
      <c r="Q372" s="15"/>
      <c r="R372" s="15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L372" s="16"/>
      <c r="AP372" s="16"/>
      <c r="AT372" s="16"/>
      <c r="AX372" s="16"/>
      <c r="BB372" s="16"/>
      <c r="BF372" s="16">
        <v>1.7500000000000002E-2</v>
      </c>
      <c r="BJ372" s="16"/>
      <c r="BN372" s="16"/>
      <c r="BO372" s="16"/>
      <c r="BP372" s="16"/>
      <c r="BQ372" s="16"/>
      <c r="BR372" s="16">
        <v>7.7600000000000002E-2</v>
      </c>
      <c r="BS372" s="16"/>
      <c r="BT372" s="16"/>
      <c r="BU372" s="16"/>
      <c r="BV372" s="16"/>
      <c r="BW372" s="16"/>
      <c r="BX372" s="16"/>
      <c r="BY372" s="16"/>
      <c r="BZ372" s="16"/>
      <c r="CA372" s="16"/>
      <c r="CH372" s="44"/>
    </row>
    <row r="373" spans="1:86" x14ac:dyDescent="0.2">
      <c r="A373" s="3" t="s">
        <v>16</v>
      </c>
      <c r="B373" s="39">
        <v>560</v>
      </c>
      <c r="C373" s="82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15"/>
      <c r="O373" s="16"/>
      <c r="P373" s="15"/>
      <c r="Q373" s="15"/>
      <c r="R373" s="15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L373" s="16"/>
      <c r="AP373" s="16"/>
      <c r="AT373" s="16"/>
      <c r="AX373" s="16"/>
      <c r="BB373" s="16"/>
      <c r="BE373" s="16">
        <v>0.29499999999999998</v>
      </c>
      <c r="BF373" s="16"/>
      <c r="BJ373" s="16"/>
      <c r="BL373" s="16">
        <v>0.30199999999999999</v>
      </c>
      <c r="BN373" s="16"/>
      <c r="BO373" s="16">
        <v>0.36499999999999999</v>
      </c>
      <c r="BP373"/>
      <c r="BR373" s="16">
        <v>0.42099999999999999</v>
      </c>
      <c r="BS373" s="16"/>
      <c r="BT373" s="16"/>
      <c r="BU373" s="16"/>
      <c r="BV373" s="16">
        <v>0.34399999999999997</v>
      </c>
      <c r="BW373" s="16"/>
      <c r="BX373" s="16"/>
      <c r="BY373" s="16">
        <v>0.36099999999999999</v>
      </c>
      <c r="BZ373" s="16"/>
      <c r="CA373" s="16"/>
      <c r="CH373" s="44"/>
    </row>
    <row r="374" spans="1:86" x14ac:dyDescent="0.2">
      <c r="A374" s="3" t="s">
        <v>16</v>
      </c>
      <c r="B374" s="39">
        <v>561</v>
      </c>
      <c r="C374" s="82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15"/>
      <c r="O374" s="16"/>
      <c r="P374" s="15"/>
      <c r="Q374" s="15"/>
      <c r="R374" s="15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L374" s="16"/>
      <c r="AP374" s="16"/>
      <c r="AT374" s="16"/>
      <c r="AX374" s="16"/>
      <c r="BB374" s="16"/>
      <c r="BE374" s="16"/>
      <c r="BF374" s="16"/>
      <c r="BG374" s="16">
        <v>0.10100000000000001</v>
      </c>
      <c r="BJ374" s="16"/>
      <c r="BL374" s="16"/>
      <c r="BN374" s="16"/>
      <c r="BO374" s="16"/>
      <c r="BP374"/>
      <c r="BR374" s="16">
        <v>0.153</v>
      </c>
      <c r="BS374" s="16"/>
      <c r="BT374" s="16"/>
      <c r="BU374" s="16"/>
      <c r="BV374" s="16"/>
      <c r="BW374" s="16"/>
      <c r="BX374" s="16"/>
      <c r="BY374" s="16"/>
      <c r="BZ374" s="16">
        <v>0.19600000000000001</v>
      </c>
      <c r="CA374" s="16"/>
      <c r="CH374" s="44"/>
    </row>
    <row r="375" spans="1:86" x14ac:dyDescent="0.2">
      <c r="A375" s="3" t="s">
        <v>16</v>
      </c>
      <c r="B375" s="39">
        <v>561</v>
      </c>
      <c r="C375" s="82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15"/>
      <c r="O375" s="16"/>
      <c r="P375" s="15"/>
      <c r="Q375" s="15"/>
      <c r="R375" s="15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L375" s="16"/>
      <c r="AP375" s="16"/>
      <c r="AT375" s="16"/>
      <c r="AX375" s="16"/>
      <c r="BB375" s="16"/>
      <c r="BE375" s="16"/>
      <c r="BF375" s="16"/>
      <c r="BG375" s="16">
        <v>0.04</v>
      </c>
      <c r="BJ375" s="16"/>
      <c r="BL375" s="16"/>
      <c r="BN375" s="16"/>
      <c r="BO375" s="16"/>
      <c r="BP375"/>
      <c r="BR375" s="16">
        <v>6.3E-2</v>
      </c>
      <c r="BS375" s="16"/>
      <c r="BT375" s="16"/>
      <c r="BU375" s="16"/>
      <c r="BV375" s="16"/>
      <c r="BW375" s="16"/>
      <c r="BX375" s="16"/>
      <c r="BY375" s="16"/>
      <c r="BZ375" s="16">
        <v>0.13100000000000001</v>
      </c>
      <c r="CA375" s="16"/>
      <c r="CH375" s="44"/>
    </row>
    <row r="376" spans="1:86" x14ac:dyDescent="0.2">
      <c r="A376" s="3" t="s">
        <v>16</v>
      </c>
      <c r="B376" s="39">
        <v>562</v>
      </c>
      <c r="C376" s="82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15"/>
      <c r="O376" s="16"/>
      <c r="P376" s="15"/>
      <c r="Q376" s="15"/>
      <c r="R376" s="15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L376" s="16"/>
      <c r="AP376" s="16"/>
      <c r="AT376" s="16"/>
      <c r="AX376" s="16"/>
      <c r="BB376" s="16"/>
      <c r="BE376" s="16"/>
      <c r="BF376" s="16"/>
      <c r="BG376" s="16"/>
      <c r="BJ376" s="16"/>
      <c r="BL376" s="16"/>
      <c r="BN376" s="16"/>
      <c r="BO376" s="16"/>
      <c r="BP376" s="16">
        <v>0.33100000000000002</v>
      </c>
      <c r="BR376" s="16"/>
      <c r="BS376" s="16"/>
      <c r="BT376" s="16"/>
      <c r="BU376" s="16"/>
      <c r="BV376" s="16"/>
      <c r="BW376" s="16"/>
      <c r="BX376" s="16"/>
      <c r="BY376" s="16"/>
      <c r="BZ376" s="16">
        <v>0.38900000000000001</v>
      </c>
      <c r="CA376" s="16"/>
      <c r="CH376" s="44"/>
    </row>
    <row r="377" spans="1:86" x14ac:dyDescent="0.2">
      <c r="A377" s="3" t="s">
        <v>16</v>
      </c>
      <c r="B377" s="39">
        <v>563</v>
      </c>
      <c r="C377" s="82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15"/>
      <c r="O377" s="16"/>
      <c r="P377" s="15"/>
      <c r="Q377" s="15"/>
      <c r="R377" s="15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L377" s="16"/>
      <c r="AP377" s="16"/>
      <c r="AT377" s="16"/>
      <c r="AX377" s="16"/>
      <c r="BB377" s="16"/>
      <c r="BE377" s="16"/>
      <c r="BF377" s="16"/>
      <c r="BG377" s="16"/>
      <c r="BI377" s="16">
        <v>0.28899999999999998</v>
      </c>
      <c r="BL377" s="16"/>
      <c r="BP377" s="16"/>
      <c r="BR377" s="16">
        <v>0.251</v>
      </c>
      <c r="BS377" s="16"/>
      <c r="BT377" s="16"/>
      <c r="BU377" s="16"/>
      <c r="BV377" s="16"/>
      <c r="BW377" s="16"/>
      <c r="BX377" s="16"/>
      <c r="BY377" s="16"/>
      <c r="BZ377" s="16">
        <v>0.32</v>
      </c>
      <c r="CA377" s="16"/>
      <c r="CB377" s="16"/>
      <c r="CC377" s="16"/>
      <c r="CH377" s="44"/>
    </row>
    <row r="378" spans="1:86" x14ac:dyDescent="0.2">
      <c r="A378" s="3" t="s">
        <v>16</v>
      </c>
      <c r="B378" s="39">
        <v>564</v>
      </c>
      <c r="C378" s="82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15"/>
      <c r="O378" s="16"/>
      <c r="P378" s="15"/>
      <c r="Q378" s="15"/>
      <c r="R378" s="15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G378" s="16">
        <v>1.1000000000000001E-3</v>
      </c>
      <c r="AL378" s="16"/>
      <c r="AP378" s="16"/>
      <c r="AT378" s="16"/>
      <c r="AX378" s="16"/>
      <c r="BB378" s="16"/>
      <c r="BE378" s="16"/>
      <c r="BF378" s="16"/>
      <c r="BG378" s="16"/>
      <c r="BI378" s="16"/>
      <c r="BL378" s="16"/>
      <c r="BP378" s="16"/>
      <c r="BR378" s="16"/>
      <c r="BS378" s="16"/>
      <c r="BT378" s="16"/>
      <c r="BU378" s="16">
        <v>1.52E-2</v>
      </c>
      <c r="BV378" s="16"/>
      <c r="BW378" s="16"/>
      <c r="BX378" s="16"/>
      <c r="BY378" s="16"/>
      <c r="BZ378" s="16"/>
      <c r="CA378" s="16"/>
      <c r="CB378" s="16"/>
      <c r="CC378" s="16"/>
      <c r="CH378" s="44"/>
    </row>
    <row r="379" spans="1:86" x14ac:dyDescent="0.2">
      <c r="A379" s="3" t="s">
        <v>16</v>
      </c>
      <c r="B379" s="39">
        <v>565</v>
      </c>
      <c r="C379" s="82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15"/>
      <c r="O379" s="16"/>
      <c r="P379" s="15"/>
      <c r="Q379" s="15"/>
      <c r="R379" s="15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G379" s="16"/>
      <c r="AL379" s="16"/>
      <c r="AP379" s="16"/>
      <c r="AT379" s="16"/>
      <c r="AX379" s="16"/>
      <c r="BB379" s="16"/>
      <c r="BE379" s="16"/>
      <c r="BF379" s="16"/>
      <c r="BG379" s="16"/>
      <c r="BI379" s="16"/>
      <c r="BL379" s="16"/>
      <c r="BP379" s="16"/>
      <c r="BR379" s="16"/>
      <c r="BS379" s="16"/>
      <c r="BT379" s="16"/>
      <c r="BU379" s="16"/>
      <c r="BV379" s="16"/>
      <c r="BW379" s="16">
        <v>0.34699999999999998</v>
      </c>
      <c r="BX379" s="16"/>
      <c r="BY379" s="16"/>
      <c r="BZ379" s="16"/>
      <c r="CA379" s="16"/>
      <c r="CB379" s="16"/>
      <c r="CC379" s="16"/>
      <c r="CD379" s="16">
        <v>0.36899999999999999</v>
      </c>
      <c r="CH379" s="44"/>
    </row>
    <row r="380" spans="1:86" x14ac:dyDescent="0.2">
      <c r="A380" s="3" t="s">
        <v>16</v>
      </c>
      <c r="B380" s="39">
        <v>566</v>
      </c>
      <c r="C380" s="82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15"/>
      <c r="O380" s="16"/>
      <c r="P380" s="15"/>
      <c r="Q380" s="15"/>
      <c r="R380" s="15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G380" s="16"/>
      <c r="AL380" s="16"/>
      <c r="AP380" s="16"/>
      <c r="AT380" s="16"/>
      <c r="AX380" s="16"/>
      <c r="BB380" s="16"/>
      <c r="BE380" s="16"/>
      <c r="BF380" s="16"/>
      <c r="BG380" s="16"/>
      <c r="BI380" s="16"/>
      <c r="BL380" s="16"/>
      <c r="BP380" s="16"/>
      <c r="BQ380" s="16">
        <v>0.73799999999999999</v>
      </c>
      <c r="BR380" s="16"/>
      <c r="BS380" s="16"/>
      <c r="BT380" s="16"/>
      <c r="BU380" s="16"/>
      <c r="BV380" s="16"/>
      <c r="BW380" s="16"/>
      <c r="BX380" s="16"/>
      <c r="BY380" s="16"/>
      <c r="BZ380" s="16">
        <v>0.69199999999999995</v>
      </c>
      <c r="CA380" s="16"/>
      <c r="CB380" s="16"/>
      <c r="CC380" s="16"/>
      <c r="CD380" s="16"/>
      <c r="CH380" s="44"/>
    </row>
    <row r="381" spans="1:86" x14ac:dyDescent="0.2">
      <c r="A381" s="3" t="s">
        <v>16</v>
      </c>
      <c r="B381" s="39">
        <v>567</v>
      </c>
      <c r="C381" s="82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15"/>
      <c r="O381" s="16"/>
      <c r="P381" s="15"/>
      <c r="Q381" s="15"/>
      <c r="R381" s="15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G381" s="16"/>
      <c r="AL381" s="16"/>
      <c r="AP381" s="16"/>
      <c r="AT381" s="16"/>
      <c r="AX381" s="16"/>
      <c r="BB381" s="16"/>
      <c r="BE381" s="16"/>
      <c r="BF381" s="16"/>
      <c r="BG381" s="16"/>
      <c r="BI381" s="16"/>
      <c r="BK381" s="16">
        <v>0.26400000000000001</v>
      </c>
      <c r="BL381" s="16"/>
      <c r="BP381" s="16"/>
      <c r="BQ381" s="16"/>
      <c r="BR381" s="16"/>
      <c r="BS381" s="16"/>
      <c r="BT381" s="16"/>
      <c r="BU381" s="16">
        <v>0.31900000000000001</v>
      </c>
      <c r="BV381" s="16"/>
      <c r="BW381" s="16"/>
      <c r="BX381" s="16"/>
      <c r="BY381" s="16"/>
      <c r="BZ381" s="16"/>
      <c r="CA381" s="16"/>
      <c r="CB381" s="16"/>
      <c r="CC381" s="16"/>
      <c r="CD381" s="16"/>
      <c r="CH381" s="44"/>
    </row>
    <row r="382" spans="1:86" x14ac:dyDescent="0.2">
      <c r="A382" s="3" t="s">
        <v>16</v>
      </c>
      <c r="B382" s="39">
        <v>567</v>
      </c>
      <c r="C382" s="82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15"/>
      <c r="O382" s="16"/>
      <c r="P382" s="15"/>
      <c r="Q382" s="15"/>
      <c r="R382" s="15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G382" s="16"/>
      <c r="AL382" s="16"/>
      <c r="AP382" s="16"/>
      <c r="AT382" s="16"/>
      <c r="AX382" s="16"/>
      <c r="BB382" s="16"/>
      <c r="BE382" s="16"/>
      <c r="BF382" s="16"/>
      <c r="BG382" s="16"/>
      <c r="BI382" s="16"/>
      <c r="BK382" s="16">
        <v>0.251</v>
      </c>
      <c r="BL382" s="16"/>
      <c r="BP382" s="16"/>
      <c r="BQ382" s="16"/>
      <c r="BR382" s="16"/>
      <c r="BS382" s="16"/>
      <c r="BT382" s="16"/>
      <c r="BU382" s="16">
        <v>0.30099999999999999</v>
      </c>
      <c r="BV382" s="16"/>
      <c r="BW382" s="16"/>
      <c r="BX382" s="16"/>
      <c r="BY382" s="16"/>
      <c r="BZ382" s="16"/>
      <c r="CA382" s="16"/>
      <c r="CB382" s="16"/>
      <c r="CC382" s="16"/>
      <c r="CD382" s="16"/>
      <c r="CH382" s="44"/>
    </row>
    <row r="383" spans="1:86" x14ac:dyDescent="0.2">
      <c r="A383" s="3" t="s">
        <v>16</v>
      </c>
      <c r="B383" s="39">
        <v>568</v>
      </c>
      <c r="C383" s="82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15"/>
      <c r="O383" s="16"/>
      <c r="P383" s="15"/>
      <c r="Q383" s="15"/>
      <c r="R383" s="15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G383" s="16"/>
      <c r="AL383" s="16"/>
      <c r="AP383" s="16"/>
      <c r="AT383" s="16"/>
      <c r="AX383" s="16"/>
      <c r="BB383" s="16"/>
      <c r="BE383" s="16"/>
      <c r="BF383" s="16"/>
      <c r="BG383" s="16"/>
      <c r="BI383" s="16"/>
      <c r="BK383" s="16">
        <v>0.47</v>
      </c>
      <c r="BM383" s="16">
        <v>0.46</v>
      </c>
      <c r="BO383" s="16">
        <v>0.44900000000000001</v>
      </c>
      <c r="BP383"/>
      <c r="BQ383" s="16">
        <v>0.438</v>
      </c>
      <c r="BR383"/>
      <c r="BS383" s="16">
        <v>0.432</v>
      </c>
      <c r="BU383" s="16">
        <v>0.42099999999999999</v>
      </c>
      <c r="BW383" s="16">
        <v>0.439</v>
      </c>
      <c r="BY383" s="16">
        <v>0.41699999999999998</v>
      </c>
      <c r="CA383" s="16">
        <v>0.436</v>
      </c>
      <c r="CC383" s="16">
        <v>0.45400000000000001</v>
      </c>
      <c r="CD383" s="16"/>
      <c r="CH383" s="44"/>
    </row>
    <row r="384" spans="1:86" x14ac:dyDescent="0.2">
      <c r="A384" s="3" t="s">
        <v>16</v>
      </c>
      <c r="B384" s="39">
        <v>569</v>
      </c>
      <c r="C384" s="82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15"/>
      <c r="O384" s="16"/>
      <c r="P384" s="15"/>
      <c r="Q384" s="15"/>
      <c r="R384" s="15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G384" s="16"/>
      <c r="AL384" s="16"/>
      <c r="AP384" s="16"/>
      <c r="AT384" s="16"/>
      <c r="AX384" s="16"/>
      <c r="BB384" s="16"/>
      <c r="BE384" s="16"/>
      <c r="BF384" s="16"/>
      <c r="BG384" s="16"/>
      <c r="BI384" s="16"/>
      <c r="BK384" s="16"/>
      <c r="BM384" s="16"/>
      <c r="BO384" s="16"/>
      <c r="BP384"/>
      <c r="BQ384" s="16">
        <v>0.373</v>
      </c>
      <c r="BR384"/>
      <c r="BS384" s="16"/>
      <c r="BU384" s="16"/>
      <c r="BW384" s="16"/>
      <c r="BY384" s="16">
        <v>0.33300000000000002</v>
      </c>
      <c r="CA384" s="16">
        <v>0.32100000000000001</v>
      </c>
      <c r="CC384" s="16"/>
      <c r="CD384" s="16"/>
      <c r="CH384" s="44"/>
    </row>
    <row r="385" spans="1:86" x14ac:dyDescent="0.2">
      <c r="A385" s="3" t="s">
        <v>16</v>
      </c>
      <c r="B385" s="39">
        <v>569</v>
      </c>
      <c r="C385" s="82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15"/>
      <c r="O385" s="16"/>
      <c r="P385" s="15"/>
      <c r="Q385" s="15"/>
      <c r="R385" s="15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G385" s="16"/>
      <c r="AL385" s="16"/>
      <c r="AP385" s="16"/>
      <c r="AT385" s="16"/>
      <c r="AX385" s="16"/>
      <c r="BB385" s="16"/>
      <c r="BE385" s="16"/>
      <c r="BF385" s="16"/>
      <c r="BG385" s="16"/>
      <c r="BI385" s="16"/>
      <c r="BK385" s="16"/>
      <c r="BM385" s="16"/>
      <c r="BO385" s="16"/>
      <c r="BP385"/>
      <c r="BQ385" s="16">
        <v>0.24399999999999999</v>
      </c>
      <c r="BR385"/>
      <c r="BS385" s="16"/>
      <c r="BU385" s="16"/>
      <c r="BW385" s="16"/>
      <c r="BY385" s="16">
        <v>0.29599999999999999</v>
      </c>
      <c r="CA385" s="16">
        <v>0.29299999999999998</v>
      </c>
      <c r="CC385" s="16"/>
      <c r="CD385" s="16"/>
      <c r="CH385" s="44"/>
    </row>
    <row r="386" spans="1:86" x14ac:dyDescent="0.2">
      <c r="A386" s="3" t="s">
        <v>16</v>
      </c>
      <c r="B386" s="39">
        <v>569</v>
      </c>
      <c r="C386" s="82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15"/>
      <c r="O386" s="16"/>
      <c r="P386" s="15"/>
      <c r="Q386" s="15"/>
      <c r="R386" s="15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G386" s="16"/>
      <c r="AL386" s="16"/>
      <c r="AP386" s="16"/>
      <c r="AT386" s="16"/>
      <c r="AX386" s="16"/>
      <c r="BB386" s="16"/>
      <c r="BE386" s="16"/>
      <c r="BF386" s="16"/>
      <c r="BG386" s="16"/>
      <c r="BI386" s="16"/>
      <c r="BK386" s="16"/>
      <c r="BM386" s="16"/>
      <c r="BO386" s="16"/>
      <c r="BP386"/>
      <c r="BQ386" s="16">
        <v>0.13100000000000001</v>
      </c>
      <c r="BR386"/>
      <c r="BS386" s="16"/>
      <c r="BU386" s="16"/>
      <c r="BW386" s="16"/>
      <c r="BY386" s="16">
        <v>0.17499999999999999</v>
      </c>
      <c r="CA386" s="16">
        <v>0.184</v>
      </c>
      <c r="CC386" s="16"/>
      <c r="CD386" s="16"/>
      <c r="CH386" s="44"/>
    </row>
    <row r="387" spans="1:86" x14ac:dyDescent="0.2">
      <c r="A387" s="3" t="s">
        <v>16</v>
      </c>
      <c r="B387" s="39">
        <v>570</v>
      </c>
      <c r="C387" s="82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15"/>
      <c r="O387" s="16"/>
      <c r="P387" s="15"/>
      <c r="Q387" s="15"/>
      <c r="R387" s="15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G387" s="16"/>
      <c r="AL387" s="16"/>
      <c r="AP387" s="16"/>
      <c r="AT387" s="16"/>
      <c r="AX387" s="16"/>
      <c r="BB387" s="16"/>
      <c r="BE387" s="16"/>
      <c r="BF387" s="16"/>
      <c r="BG387" s="16"/>
      <c r="BI387" s="16"/>
      <c r="BK387" s="16"/>
      <c r="BM387" s="16"/>
      <c r="BO387" s="16"/>
      <c r="BP387"/>
      <c r="BQ387" s="16"/>
      <c r="BR387" s="16"/>
      <c r="BS387" s="16"/>
      <c r="BT387" s="16"/>
      <c r="BU387" s="16"/>
      <c r="BV387" s="16">
        <v>0.25840000000000002</v>
      </c>
      <c r="BW387" s="16"/>
      <c r="BX387" s="16"/>
      <c r="BY387" s="16"/>
      <c r="BZ387" s="16"/>
      <c r="CA387" s="16"/>
      <c r="CC387" s="16">
        <v>0.39400000000000002</v>
      </c>
      <c r="CD387" s="16"/>
      <c r="CH387" s="44"/>
    </row>
    <row r="388" spans="1:86" x14ac:dyDescent="0.2">
      <c r="A388" s="3" t="s">
        <v>16</v>
      </c>
      <c r="B388" s="39">
        <v>571</v>
      </c>
      <c r="C388" s="82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15"/>
      <c r="O388" s="16"/>
      <c r="P388" s="15"/>
      <c r="Q388" s="15"/>
      <c r="R388" s="15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G388" s="16"/>
      <c r="AL388" s="16"/>
      <c r="AP388" s="16"/>
      <c r="AT388" s="16"/>
      <c r="AX388" s="16"/>
      <c r="BB388" s="16">
        <v>8.9999999999999993E-3</v>
      </c>
      <c r="BE388" s="16"/>
      <c r="BF388" s="16"/>
      <c r="BG388" s="16"/>
      <c r="BI388" s="16"/>
      <c r="BK388" s="16"/>
      <c r="BM388" s="16"/>
      <c r="BO388" s="16"/>
      <c r="BP388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>
        <v>2.1999999999999999E-2</v>
      </c>
      <c r="CA388" s="16"/>
      <c r="CC388" s="16"/>
      <c r="CD388" s="16"/>
      <c r="CH388" s="44"/>
    </row>
    <row r="389" spans="1:86" x14ac:dyDescent="0.2">
      <c r="A389" s="3" t="s">
        <v>16</v>
      </c>
      <c r="B389" s="39">
        <v>571</v>
      </c>
      <c r="C389" s="82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15"/>
      <c r="O389" s="16"/>
      <c r="P389" s="15"/>
      <c r="Q389" s="15"/>
      <c r="R389" s="15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G389" s="16"/>
      <c r="AL389" s="16"/>
      <c r="AP389" s="16"/>
      <c r="AT389" s="16"/>
      <c r="AX389" s="16"/>
      <c r="BB389" s="16">
        <v>6.2E-2</v>
      </c>
      <c r="BE389" s="16"/>
      <c r="BF389" s="16"/>
      <c r="BG389" s="16"/>
      <c r="BI389" s="16"/>
      <c r="BK389" s="16"/>
      <c r="BM389" s="16"/>
      <c r="BO389" s="16"/>
      <c r="BP389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>
        <v>0.14099999999999999</v>
      </c>
      <c r="CA389" s="16"/>
      <c r="CC389" s="16"/>
      <c r="CD389" s="16"/>
      <c r="CH389" s="44"/>
    </row>
    <row r="390" spans="1:86" x14ac:dyDescent="0.2">
      <c r="A390" s="3" t="s">
        <v>16</v>
      </c>
      <c r="B390" s="39">
        <v>571</v>
      </c>
      <c r="C390" s="82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15"/>
      <c r="O390" s="16"/>
      <c r="P390" s="15"/>
      <c r="Q390" s="15"/>
      <c r="R390" s="15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G390" s="16"/>
      <c r="AL390" s="16"/>
      <c r="AP390" s="16"/>
      <c r="AT390" s="16"/>
      <c r="AX390" s="16"/>
      <c r="BB390" s="16">
        <v>1.4E-2</v>
      </c>
      <c r="BE390" s="16"/>
      <c r="BF390" s="16"/>
      <c r="BG390" s="16"/>
      <c r="BI390" s="16"/>
      <c r="BK390" s="16"/>
      <c r="BM390" s="16"/>
      <c r="BO390" s="16"/>
      <c r="BP390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>
        <v>2.9000000000000001E-2</v>
      </c>
      <c r="CA390" s="16"/>
      <c r="CC390" s="16"/>
      <c r="CD390" s="16"/>
      <c r="CH390" s="44"/>
    </row>
    <row r="391" spans="1:86" x14ac:dyDescent="0.2">
      <c r="A391" s="3" t="s">
        <v>16</v>
      </c>
      <c r="B391" s="39">
        <v>572</v>
      </c>
      <c r="C391" s="82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15"/>
      <c r="O391" s="16"/>
      <c r="P391" s="15"/>
      <c r="Q391" s="15"/>
      <c r="R391" s="15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G391" s="16"/>
      <c r="AL391" s="16"/>
      <c r="AP391" s="16"/>
      <c r="AT391" s="16"/>
      <c r="AX391" s="16"/>
      <c r="BB391" s="16">
        <v>0.2303</v>
      </c>
      <c r="BD391" s="16">
        <v>0.21340000000000001</v>
      </c>
      <c r="BH391" s="16">
        <v>0.1807</v>
      </c>
      <c r="BK391" s="16">
        <v>0.2591</v>
      </c>
      <c r="BO391" s="16">
        <v>0.28820000000000001</v>
      </c>
      <c r="BP391"/>
      <c r="BQ391" s="16">
        <v>0.32700000000000001</v>
      </c>
      <c r="BR391"/>
      <c r="BS391"/>
      <c r="BT391" s="16">
        <v>0.35170000000000001</v>
      </c>
      <c r="BV391" s="16">
        <v>0.37819999999999998</v>
      </c>
      <c r="BX391" s="16"/>
      <c r="BY391" s="16"/>
      <c r="BZ391" s="16">
        <v>0.34789999999999999</v>
      </c>
      <c r="CA391" s="16"/>
      <c r="CC391" s="16"/>
      <c r="CD391" s="16"/>
      <c r="CH391" s="44"/>
    </row>
    <row r="392" spans="1:86" x14ac:dyDescent="0.2">
      <c r="A392" s="3" t="s">
        <v>16</v>
      </c>
      <c r="B392" s="39">
        <v>572</v>
      </c>
      <c r="C392" s="82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15"/>
      <c r="O392" s="16"/>
      <c r="P392" s="15"/>
      <c r="Q392" s="15"/>
      <c r="R392" s="15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G392" s="16"/>
      <c r="AL392" s="16"/>
      <c r="AP392" s="16"/>
      <c r="AT392" s="16"/>
      <c r="AX392" s="16"/>
      <c r="BB392" s="16">
        <v>0.15440000000000001</v>
      </c>
      <c r="BD392" s="16">
        <v>0.12330000000000001</v>
      </c>
      <c r="BH392" s="16">
        <v>0.1162</v>
      </c>
      <c r="BK392" s="16">
        <v>0.1641</v>
      </c>
      <c r="BO392" s="16">
        <v>0.17469999999999999</v>
      </c>
      <c r="BP392"/>
      <c r="BQ392" s="16">
        <v>0.18190000000000001</v>
      </c>
      <c r="BR392"/>
      <c r="BS392"/>
      <c r="BT392" s="16">
        <v>0.21629999999999999</v>
      </c>
      <c r="BV392" s="16">
        <v>0.26769999999999999</v>
      </c>
      <c r="BX392" s="16"/>
      <c r="BY392" s="16"/>
      <c r="BZ392" s="16">
        <v>0.28410000000000002</v>
      </c>
      <c r="CA392" s="16"/>
      <c r="CC392" s="16"/>
      <c r="CD392" s="16"/>
      <c r="CH392" s="44"/>
    </row>
    <row r="393" spans="1:86" x14ac:dyDescent="0.2">
      <c r="A393" s="3" t="s">
        <v>16</v>
      </c>
      <c r="B393" s="39">
        <v>573</v>
      </c>
      <c r="C393" s="82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15"/>
      <c r="O393" s="16"/>
      <c r="P393" s="15"/>
      <c r="Q393" s="15"/>
      <c r="R393" s="15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G393" s="16"/>
      <c r="AL393" s="16"/>
      <c r="AP393" s="16"/>
      <c r="AT393" s="16"/>
      <c r="AX393" s="16"/>
      <c r="BB393" s="16">
        <v>0.32200000000000001</v>
      </c>
      <c r="BD393" s="16"/>
      <c r="BH393" s="16"/>
      <c r="BK393" s="16"/>
      <c r="BO393" s="16"/>
      <c r="BP393"/>
      <c r="BQ393" s="16"/>
      <c r="BR393"/>
      <c r="BS393"/>
      <c r="BT393" s="16"/>
      <c r="BV393" s="16"/>
      <c r="BX393" s="16"/>
      <c r="BY393" s="16"/>
      <c r="BZ393" s="16">
        <v>0.6</v>
      </c>
      <c r="CA393" s="16"/>
      <c r="CC393" s="16"/>
      <c r="CD393" s="16"/>
      <c r="CH393" s="44"/>
    </row>
    <row r="394" spans="1:86" x14ac:dyDescent="0.2">
      <c r="A394" s="3" t="s">
        <v>16</v>
      </c>
      <c r="B394" s="39">
        <v>574</v>
      </c>
      <c r="C394" s="82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15"/>
      <c r="O394" s="16"/>
      <c r="P394" s="15"/>
      <c r="Q394" s="15"/>
      <c r="R394" s="15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G394" s="16"/>
      <c r="AL394" s="16"/>
      <c r="AP394" s="16"/>
      <c r="AT394" s="16"/>
      <c r="AX394" s="16"/>
      <c r="BB394" s="16">
        <v>0.157</v>
      </c>
      <c r="BD394" s="16"/>
      <c r="BH394" s="16"/>
      <c r="BK394" s="16"/>
      <c r="BO394" s="16"/>
      <c r="BP394"/>
      <c r="BQ394" s="16"/>
      <c r="BR394"/>
      <c r="BS394"/>
      <c r="BT394" s="16"/>
      <c r="BV394" s="16"/>
      <c r="BX394" s="16"/>
      <c r="BY394" s="16"/>
      <c r="BZ394" s="16">
        <v>0.23300000000000001</v>
      </c>
      <c r="CA394" s="16"/>
      <c r="CC394" s="16"/>
      <c r="CD394" s="16"/>
      <c r="CH394" s="44"/>
    </row>
    <row r="395" spans="1:86" x14ac:dyDescent="0.2">
      <c r="A395" s="3" t="s">
        <v>16</v>
      </c>
      <c r="B395" s="39">
        <v>574</v>
      </c>
      <c r="C395" s="82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15"/>
      <c r="O395" s="16"/>
      <c r="P395" s="15"/>
      <c r="Q395" s="15"/>
      <c r="R395" s="15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G395" s="16"/>
      <c r="AL395" s="16"/>
      <c r="AP395" s="16"/>
      <c r="AT395" s="16"/>
      <c r="AX395" s="16"/>
      <c r="BB395" s="16">
        <v>0.10100000000000001</v>
      </c>
      <c r="BD395" s="16"/>
      <c r="BH395" s="16"/>
      <c r="BK395" s="16"/>
      <c r="BO395" s="16"/>
      <c r="BP395"/>
      <c r="BQ395" s="16"/>
      <c r="BR395"/>
      <c r="BS395"/>
      <c r="BT395" s="16"/>
      <c r="BV395" s="16"/>
      <c r="BX395" s="16"/>
      <c r="BY395" s="16"/>
      <c r="BZ395" s="16">
        <v>0.156</v>
      </c>
      <c r="CA395" s="16"/>
      <c r="CC395" s="16"/>
      <c r="CD395" s="16"/>
      <c r="CH395" s="44"/>
    </row>
    <row r="396" spans="1:86" x14ac:dyDescent="0.2">
      <c r="A396" s="3" t="s">
        <v>16</v>
      </c>
      <c r="B396" s="39">
        <v>574</v>
      </c>
      <c r="C396" s="82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15"/>
      <c r="O396" s="16"/>
      <c r="P396" s="15"/>
      <c r="Q396" s="15"/>
      <c r="R396" s="15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G396" s="16"/>
      <c r="AL396" s="16"/>
      <c r="AP396" s="16"/>
      <c r="AT396" s="16"/>
      <c r="AX396" s="16"/>
      <c r="BB396" s="16">
        <v>5.5E-2</v>
      </c>
      <c r="BD396" s="16"/>
      <c r="BH396" s="16"/>
      <c r="BK396" s="16"/>
      <c r="BO396" s="16"/>
      <c r="BP396"/>
      <c r="BQ396" s="16"/>
      <c r="BR396"/>
      <c r="BS396"/>
      <c r="BT396" s="16"/>
      <c r="BV396" s="16"/>
      <c r="BX396" s="16"/>
      <c r="BY396" s="16"/>
      <c r="BZ396" s="16">
        <v>7.3999999999999996E-2</v>
      </c>
      <c r="CA396" s="16"/>
      <c r="CC396" s="16"/>
      <c r="CD396" s="16"/>
      <c r="CH396" s="44"/>
    </row>
    <row r="397" spans="1:86" x14ac:dyDescent="0.2">
      <c r="A397" s="3" t="s">
        <v>16</v>
      </c>
      <c r="B397" s="39">
        <v>574</v>
      </c>
      <c r="C397" s="82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15"/>
      <c r="O397" s="16"/>
      <c r="P397" s="15"/>
      <c r="Q397" s="15"/>
      <c r="R397" s="15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G397" s="16"/>
      <c r="AL397" s="16"/>
      <c r="AP397" s="16"/>
      <c r="AT397" s="16"/>
      <c r="AX397" s="16"/>
      <c r="BB397" s="16">
        <v>3.5999999999999997E-2</v>
      </c>
      <c r="BD397" s="16"/>
      <c r="BH397" s="16"/>
      <c r="BK397" s="16"/>
      <c r="BO397" s="16"/>
      <c r="BP397"/>
      <c r="BQ397" s="16"/>
      <c r="BR397"/>
      <c r="BS397"/>
      <c r="BT397" s="16"/>
      <c r="BV397" s="16"/>
      <c r="BX397" s="16"/>
      <c r="BY397" s="16"/>
      <c r="BZ397" s="16">
        <v>6.4000000000000001E-2</v>
      </c>
      <c r="CA397" s="16"/>
      <c r="CC397" s="16"/>
      <c r="CD397" s="16"/>
      <c r="CH397" s="44"/>
    </row>
    <row r="398" spans="1:86" x14ac:dyDescent="0.2">
      <c r="A398" s="3" t="s">
        <v>16</v>
      </c>
      <c r="B398" s="39">
        <v>574</v>
      </c>
      <c r="C398" s="82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15"/>
      <c r="O398" s="16"/>
      <c r="P398" s="15"/>
      <c r="Q398" s="15"/>
      <c r="R398" s="15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G398" s="16"/>
      <c r="AL398" s="16"/>
      <c r="AP398" s="16"/>
      <c r="AT398" s="16"/>
      <c r="AX398" s="16"/>
      <c r="BB398" s="16">
        <v>6.9000000000000006E-2</v>
      </c>
      <c r="BD398" s="16"/>
      <c r="BH398" s="16"/>
      <c r="BK398" s="16"/>
      <c r="BO398" s="16"/>
      <c r="BP398"/>
      <c r="BQ398" s="16"/>
      <c r="BR398"/>
      <c r="BS398"/>
      <c r="BT398" s="16"/>
      <c r="BV398" s="16"/>
      <c r="BX398" s="16"/>
      <c r="BY398" s="16"/>
      <c r="BZ398" s="16">
        <v>0.104</v>
      </c>
      <c r="CA398" s="16"/>
      <c r="CC398" s="16"/>
      <c r="CD398" s="16"/>
      <c r="CH398" s="44"/>
    </row>
    <row r="399" spans="1:86" x14ac:dyDescent="0.2">
      <c r="A399" s="3" t="s">
        <v>16</v>
      </c>
      <c r="B399" s="39">
        <v>575</v>
      </c>
      <c r="C399" s="82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15"/>
      <c r="O399" s="16"/>
      <c r="P399" s="15"/>
      <c r="Q399" s="15"/>
      <c r="R399" s="15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G399" s="16"/>
      <c r="AL399" s="16"/>
      <c r="AP399" s="16"/>
      <c r="AT399" s="16"/>
      <c r="AX399" s="16"/>
      <c r="BB399" s="16"/>
      <c r="BD399" s="16"/>
      <c r="BF399" s="16">
        <v>8.5999999999999993E-2</v>
      </c>
      <c r="BH399" s="16"/>
      <c r="BK399" s="16"/>
      <c r="BO399" s="16"/>
      <c r="BP399"/>
      <c r="BQ399" s="16"/>
      <c r="BR399"/>
      <c r="BS399"/>
      <c r="BT399" s="16"/>
      <c r="BV399" s="16"/>
      <c r="BX399" s="16"/>
      <c r="BY399" s="16"/>
      <c r="BZ399" s="16"/>
      <c r="CA399" s="16"/>
      <c r="CC399" s="16"/>
      <c r="CD399" s="16"/>
      <c r="CE399" s="16">
        <v>0.32500000000000001</v>
      </c>
      <c r="CH399" s="44"/>
    </row>
    <row r="400" spans="1:86" x14ac:dyDescent="0.2">
      <c r="A400" s="3" t="s">
        <v>16</v>
      </c>
      <c r="B400" s="39">
        <v>576</v>
      </c>
      <c r="C400" s="82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15"/>
      <c r="O400" s="16"/>
      <c r="P400" s="15"/>
      <c r="Q400" s="15"/>
      <c r="R400" s="15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G400" s="16"/>
      <c r="AL400" s="16"/>
      <c r="AP400" s="16"/>
      <c r="AT400" s="16"/>
      <c r="AX400" s="16"/>
      <c r="BB400" s="16"/>
      <c r="BD400" s="16"/>
      <c r="BF400" s="16"/>
      <c r="BH400" s="16"/>
      <c r="BK400" s="16"/>
      <c r="BO400" s="16"/>
      <c r="BP400"/>
      <c r="BQ400" s="16">
        <v>0.17699999999999999</v>
      </c>
      <c r="BR400"/>
      <c r="BS400"/>
      <c r="BT400" s="16"/>
      <c r="BV400" s="16">
        <v>0.17</v>
      </c>
      <c r="BX400" s="16"/>
      <c r="BY400" s="16"/>
      <c r="BZ400" s="16">
        <v>0.184</v>
      </c>
      <c r="CA400" s="16"/>
      <c r="CC400" s="16"/>
      <c r="CD400" s="16"/>
      <c r="CE400" s="16"/>
      <c r="CH400" s="44"/>
    </row>
    <row r="401" spans="1:86" x14ac:dyDescent="0.2">
      <c r="A401" s="3" t="s">
        <v>16</v>
      </c>
      <c r="B401" s="39">
        <v>577</v>
      </c>
      <c r="C401" s="82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15"/>
      <c r="O401" s="16"/>
      <c r="P401" s="15"/>
      <c r="Q401" s="15"/>
      <c r="R401" s="15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G401" s="16"/>
      <c r="AL401" s="16"/>
      <c r="AP401" s="16"/>
      <c r="AT401" s="16"/>
      <c r="AX401" s="16"/>
      <c r="BB401" s="16"/>
      <c r="BD401" s="16"/>
      <c r="BF401" s="16"/>
      <c r="BH401" s="16"/>
      <c r="BK401" s="16"/>
      <c r="BO401" s="16"/>
      <c r="BP401"/>
      <c r="BQ401" s="16"/>
      <c r="BR401"/>
      <c r="BS401"/>
      <c r="BT401" s="16"/>
      <c r="BV401" s="16">
        <v>0.38600000000000001</v>
      </c>
      <c r="BX401" s="16"/>
      <c r="BY401" s="16"/>
      <c r="BZ401" s="16">
        <v>0.41399999999999998</v>
      </c>
      <c r="CA401" s="16"/>
      <c r="CC401" s="16"/>
      <c r="CD401" s="16"/>
      <c r="CE401" s="16"/>
      <c r="CH401" s="44"/>
    </row>
    <row r="402" spans="1:86" x14ac:dyDescent="0.2">
      <c r="A402" s="3" t="s">
        <v>16</v>
      </c>
      <c r="B402" s="39">
        <v>578</v>
      </c>
      <c r="C402" s="82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15"/>
      <c r="O402" s="16"/>
      <c r="P402" s="15"/>
      <c r="Q402" s="15"/>
      <c r="R402" s="15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G402" s="16"/>
      <c r="AL402" s="16"/>
      <c r="AP402" s="16"/>
      <c r="AT402" s="16"/>
      <c r="AX402" s="16"/>
      <c r="BB402" s="16"/>
      <c r="BD402" s="16"/>
      <c r="BF402" s="16"/>
      <c r="BH402" s="16"/>
      <c r="BJ402" s="16">
        <v>0.33529999999999999</v>
      </c>
      <c r="BK402" s="16"/>
      <c r="BO402" s="16"/>
      <c r="BP402"/>
      <c r="BQ402" s="16"/>
      <c r="BR402"/>
      <c r="BS402"/>
      <c r="BT402" s="16"/>
      <c r="BV402" s="16"/>
      <c r="BX402" s="16"/>
      <c r="BY402" s="16"/>
      <c r="BZ402" s="16"/>
      <c r="CA402" s="16"/>
      <c r="CC402" s="16">
        <v>0.40579999999999999</v>
      </c>
      <c r="CD402" s="16"/>
      <c r="CE402" s="16"/>
      <c r="CH402" s="44"/>
    </row>
    <row r="403" spans="1:86" x14ac:dyDescent="0.2">
      <c r="A403" s="3" t="s">
        <v>16</v>
      </c>
      <c r="B403" s="39">
        <v>579</v>
      </c>
      <c r="C403" s="82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15"/>
      <c r="O403" s="16"/>
      <c r="P403" s="15"/>
      <c r="Q403" s="15"/>
      <c r="R403" s="15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G403" s="16"/>
      <c r="AL403" s="16"/>
      <c r="AP403" s="16"/>
      <c r="AT403" s="16"/>
      <c r="AX403" s="16"/>
      <c r="BB403" s="16"/>
      <c r="BD403" s="16"/>
      <c r="BF403" s="16"/>
      <c r="BH403" s="16"/>
      <c r="BJ403" s="16"/>
      <c r="BK403" s="16"/>
      <c r="BO403" s="16">
        <v>0.20799999999999999</v>
      </c>
      <c r="BP403"/>
      <c r="BQ403" s="16"/>
      <c r="BR403"/>
      <c r="BS403"/>
      <c r="BT403" s="16"/>
      <c r="BU403" s="16">
        <v>0.29599999999999999</v>
      </c>
      <c r="BV403" s="16"/>
      <c r="BX403" s="16"/>
      <c r="BY403" s="16"/>
      <c r="BZ403" s="16"/>
      <c r="CA403" s="16"/>
      <c r="CC403" s="16"/>
      <c r="CD403" s="16"/>
      <c r="CE403" s="16"/>
      <c r="CH403" s="44"/>
    </row>
    <row r="404" spans="1:86" s="46" customFormat="1" x14ac:dyDescent="0.2">
      <c r="A404" s="38" t="s">
        <v>16</v>
      </c>
      <c r="B404" s="40">
        <v>580</v>
      </c>
      <c r="C404" s="83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67"/>
      <c r="O404" s="63"/>
      <c r="P404" s="67"/>
      <c r="Q404" s="67"/>
      <c r="R404" s="67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G404" s="63"/>
      <c r="AL404" s="63"/>
      <c r="AP404" s="63"/>
      <c r="AT404" s="63"/>
      <c r="AX404" s="63"/>
      <c r="BB404" s="63"/>
      <c r="BD404" s="63"/>
      <c r="BF404" s="63"/>
      <c r="BH404" s="63"/>
      <c r="BJ404" s="63"/>
      <c r="BK404" s="63"/>
      <c r="BO404" s="63"/>
      <c r="BQ404" s="63"/>
      <c r="BT404" s="63"/>
      <c r="BU404" s="63"/>
      <c r="BX404" s="63"/>
      <c r="BY404" s="63">
        <v>0.34399999999999997</v>
      </c>
      <c r="BZ404" s="63"/>
      <c r="CA404" s="63"/>
      <c r="CC404" s="63"/>
      <c r="CD404" s="63"/>
      <c r="CE404" s="63"/>
      <c r="CF404" s="63">
        <v>0.40400000000000003</v>
      </c>
      <c r="CH404" s="51"/>
    </row>
    <row r="405" spans="1:86" x14ac:dyDescent="0.2">
      <c r="A405" s="3" t="s">
        <v>17</v>
      </c>
      <c r="B405" s="39">
        <v>581</v>
      </c>
      <c r="C405" s="82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AQ405" s="5"/>
      <c r="BK405" s="5">
        <v>2.5000000000000001E-3</v>
      </c>
      <c r="BP405"/>
      <c r="BR405"/>
      <c r="BS405"/>
      <c r="BU405" s="5">
        <v>3.5999999999999999E-3</v>
      </c>
      <c r="CH405" s="44"/>
    </row>
    <row r="406" spans="1:86" x14ac:dyDescent="0.2">
      <c r="A406" s="3" t="s">
        <v>17</v>
      </c>
      <c r="B406" s="39">
        <v>581</v>
      </c>
      <c r="C406" s="82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BK406" s="5">
        <v>2.5000000000000001E-3</v>
      </c>
      <c r="BP406"/>
      <c r="BR406"/>
      <c r="BS406"/>
      <c r="BU406" s="5">
        <v>2.5000000000000001E-3</v>
      </c>
      <c r="BV406" s="10"/>
      <c r="CA406" s="10"/>
      <c r="CH406" s="44"/>
    </row>
    <row r="407" spans="1:86" x14ac:dyDescent="0.2">
      <c r="A407" s="3" t="s">
        <v>17</v>
      </c>
      <c r="B407" s="39">
        <v>581</v>
      </c>
      <c r="C407" s="82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BF407" s="5"/>
      <c r="BK407" s="5">
        <v>5.0000000000000001E-4</v>
      </c>
      <c r="BP407"/>
      <c r="BR407"/>
      <c r="BS407"/>
      <c r="BU407" s="5">
        <v>5.0000000000000001E-4</v>
      </c>
      <c r="CA407" s="5"/>
      <c r="CH407" s="44"/>
    </row>
    <row r="408" spans="1:86" x14ac:dyDescent="0.2">
      <c r="A408" s="3" t="s">
        <v>17</v>
      </c>
      <c r="B408" s="39">
        <v>582</v>
      </c>
      <c r="C408" s="82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BB408" s="10"/>
      <c r="BJ408" s="18">
        <f>64.63/100000</f>
        <v>6.4629999999999993E-4</v>
      </c>
      <c r="BK408" s="18">
        <f>66.7/100000</f>
        <v>6.6700000000000006E-4</v>
      </c>
      <c r="BL408" s="18">
        <f>69.78/100000</f>
        <v>6.9780000000000005E-4</v>
      </c>
      <c r="BM408" s="18">
        <f>73.21/100000</f>
        <v>7.3209999999999996E-4</v>
      </c>
      <c r="BN408" s="18">
        <f>76.24/100000</f>
        <v>7.6239999999999999E-4</v>
      </c>
      <c r="BO408" s="18">
        <f>78/100000</f>
        <v>7.7999999999999999E-4</v>
      </c>
      <c r="BP408" s="18">
        <f>81.23/100000</f>
        <v>8.1230000000000007E-4</v>
      </c>
      <c r="BQ408" s="18">
        <f>83.65/100000</f>
        <v>8.365E-4</v>
      </c>
      <c r="BR408" s="18">
        <f>86.31/100000</f>
        <v>8.631E-4</v>
      </c>
      <c r="BS408" s="18">
        <f>88.62/100000</f>
        <v>8.8620000000000007E-4</v>
      </c>
      <c r="BT408" s="18">
        <f>91.16/100000</f>
        <v>9.1159999999999993E-4</v>
      </c>
      <c r="BU408" s="18">
        <f>93.45/100000</f>
        <v>9.345E-4</v>
      </c>
      <c r="BV408" s="18">
        <f>95.81/100000</f>
        <v>9.5810000000000003E-4</v>
      </c>
      <c r="BW408" s="18">
        <f>97.04/100000</f>
        <v>9.7040000000000006E-4</v>
      </c>
      <c r="CH408" s="44"/>
    </row>
    <row r="409" spans="1:86" x14ac:dyDescent="0.2">
      <c r="A409" s="3" t="s">
        <v>17</v>
      </c>
      <c r="B409" s="39">
        <v>583</v>
      </c>
      <c r="C409" s="82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AG409" s="1"/>
      <c r="AH409" s="1"/>
      <c r="AI409" s="1"/>
      <c r="AJ409" s="1"/>
      <c r="AK409" s="5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5"/>
      <c r="BA409" s="1"/>
      <c r="BB409" s="1"/>
      <c r="BC409" s="18">
        <f>7.52/100000</f>
        <v>7.5199999999999998E-5</v>
      </c>
      <c r="BD409" s="18">
        <f>8.22/100000</f>
        <v>8.2200000000000006E-5</v>
      </c>
      <c r="BE409" s="18">
        <f>8.89/100000</f>
        <v>8.8900000000000006E-5</v>
      </c>
      <c r="BF409" s="18">
        <f>8.73/100000</f>
        <v>8.7300000000000008E-5</v>
      </c>
      <c r="BG409" s="18">
        <f>9.02/100000</f>
        <v>9.0199999999999997E-5</v>
      </c>
      <c r="BH409" s="18">
        <f>9.39/100000</f>
        <v>9.3900000000000006E-5</v>
      </c>
      <c r="BI409" s="18">
        <f>10.01/100000</f>
        <v>1.0009999999999999E-4</v>
      </c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65"/>
    </row>
    <row r="410" spans="1:86" x14ac:dyDescent="0.2">
      <c r="A410" s="3" t="s">
        <v>17</v>
      </c>
      <c r="B410" s="39">
        <v>583</v>
      </c>
      <c r="C410" s="82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BC410" s="18">
        <f>42.6/100000</f>
        <v>4.26E-4</v>
      </c>
      <c r="BD410" s="18">
        <f>46.46/100000</f>
        <v>4.6460000000000002E-4</v>
      </c>
      <c r="BE410" s="18">
        <f>51.23/100000</f>
        <v>5.1229999999999993E-4</v>
      </c>
      <c r="BF410" s="18">
        <f>54.95/100000</f>
        <v>5.4950000000000008E-4</v>
      </c>
      <c r="BG410" s="18">
        <f>60.42/100000</f>
        <v>6.0420000000000005E-4</v>
      </c>
      <c r="BH410" s="18">
        <f>65.98/100000</f>
        <v>6.5979999999999999E-4</v>
      </c>
      <c r="BI410" s="18">
        <f>70.82/100000</f>
        <v>7.0819999999999998E-4</v>
      </c>
      <c r="BO410" s="5"/>
      <c r="BP410"/>
      <c r="BR410"/>
      <c r="BS410"/>
      <c r="BW410" s="5"/>
      <c r="CH410" s="44"/>
    </row>
    <row r="411" spans="1:86" x14ac:dyDescent="0.2">
      <c r="A411" s="3" t="s">
        <v>17</v>
      </c>
      <c r="B411" s="39">
        <v>584</v>
      </c>
      <c r="C411" s="82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8">
        <f>39/100000</f>
        <v>3.8999999999999999E-4</v>
      </c>
      <c r="AU411" s="1"/>
      <c r="AV411" s="1"/>
      <c r="AW411" s="1"/>
      <c r="AX411" s="1"/>
      <c r="AY411" s="1"/>
      <c r="AZ411" s="1"/>
      <c r="BA411" s="1"/>
      <c r="BB411" s="18">
        <f>68/100000</f>
        <v>6.8000000000000005E-4</v>
      </c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5"/>
      <c r="BW411" s="5"/>
      <c r="BX411" s="1"/>
      <c r="BY411" s="5"/>
      <c r="BZ411" s="1"/>
      <c r="CA411" s="1"/>
      <c r="CB411" s="1"/>
      <c r="CC411" s="1"/>
      <c r="CD411" s="1"/>
      <c r="CE411" s="1"/>
      <c r="CF411" s="1"/>
      <c r="CG411" s="1"/>
      <c r="CH411" s="65"/>
    </row>
    <row r="412" spans="1:86" x14ac:dyDescent="0.2">
      <c r="A412" s="3" t="s">
        <v>17</v>
      </c>
      <c r="B412" s="39">
        <v>585</v>
      </c>
      <c r="C412" s="82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AG412" s="1"/>
      <c r="AH412" s="1"/>
      <c r="AI412" s="1"/>
      <c r="AJ412" s="1"/>
      <c r="AK412" s="1"/>
      <c r="AL412" s="1"/>
      <c r="AM412" s="1"/>
      <c r="AN412" s="1"/>
      <c r="AO412" s="18">
        <f>16/100000</f>
        <v>1.6000000000000001E-4</v>
      </c>
      <c r="AQ412" s="1"/>
      <c r="AR412" s="1"/>
      <c r="AS412" s="18"/>
      <c r="AU412" s="1"/>
      <c r="AV412" s="1"/>
      <c r="AW412" s="1"/>
      <c r="AX412" s="1"/>
      <c r="AY412" s="1"/>
      <c r="AZ412" s="1"/>
      <c r="BA412" s="1"/>
      <c r="BB412" s="18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P412" s="1"/>
      <c r="BQ412" s="18">
        <f>64.1/100000</f>
        <v>6.4099999999999997E-4</v>
      </c>
      <c r="BR412" s="1"/>
      <c r="BS412" s="1"/>
      <c r="BT412" s="1"/>
      <c r="BU412" s="5"/>
      <c r="BW412" s="5"/>
      <c r="BX412" s="1"/>
      <c r="BY412" s="5"/>
      <c r="BZ412" s="1"/>
      <c r="CA412" s="1"/>
      <c r="CB412" s="1"/>
      <c r="CC412" s="1"/>
      <c r="CD412" s="1"/>
      <c r="CE412" s="1"/>
      <c r="CF412" s="1"/>
      <c r="CG412" s="1"/>
      <c r="CH412" s="65"/>
    </row>
    <row r="413" spans="1:86" x14ac:dyDescent="0.2">
      <c r="A413" s="3" t="s">
        <v>17</v>
      </c>
      <c r="B413" s="39">
        <v>584</v>
      </c>
      <c r="C413" s="82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AG413" s="1"/>
      <c r="AH413" s="1"/>
      <c r="AI413" s="1"/>
      <c r="AJ413" s="1"/>
      <c r="AK413" s="1"/>
      <c r="AL413" s="1"/>
      <c r="AM413" s="1"/>
      <c r="AN413" s="1"/>
      <c r="AO413" s="18"/>
      <c r="AQ413" s="1"/>
      <c r="AR413" s="1"/>
      <c r="AS413" s="18"/>
      <c r="AU413" s="1"/>
      <c r="AV413" s="1"/>
      <c r="AW413" s="18">
        <f>42/100000</f>
        <v>4.2000000000000002E-4</v>
      </c>
      <c r="AY413" s="1"/>
      <c r="AZ413" s="1"/>
      <c r="BA413" s="1"/>
      <c r="BB413" s="18">
        <f>68/100000</f>
        <v>6.8000000000000005E-4</v>
      </c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P413" s="1"/>
      <c r="BQ413" s="18"/>
      <c r="BR413" s="1"/>
      <c r="BS413" s="1"/>
      <c r="BT413" s="1"/>
      <c r="BU413" s="5"/>
      <c r="BW413" s="5"/>
      <c r="BX413" s="1"/>
      <c r="BY413" s="5"/>
      <c r="BZ413" s="1"/>
      <c r="CA413" s="1"/>
      <c r="CB413" s="1"/>
      <c r="CC413" s="1"/>
      <c r="CD413" s="1"/>
      <c r="CE413" s="1"/>
      <c r="CF413" s="1"/>
      <c r="CG413" s="1"/>
      <c r="CH413" s="65"/>
    </row>
    <row r="414" spans="1:86" x14ac:dyDescent="0.2">
      <c r="A414" s="3" t="s">
        <v>17</v>
      </c>
      <c r="B414" s="39">
        <v>586</v>
      </c>
      <c r="C414" s="82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AG414" s="1"/>
      <c r="AH414" s="1"/>
      <c r="AI414" s="1"/>
      <c r="AJ414" s="1"/>
      <c r="AK414" s="1"/>
      <c r="AL414" s="1"/>
      <c r="AM414" s="1"/>
      <c r="AN414" s="1"/>
      <c r="AO414" s="18"/>
      <c r="AQ414" s="1"/>
      <c r="AR414" s="1"/>
      <c r="AS414" s="18"/>
      <c r="AU414" s="1"/>
      <c r="AV414" s="1"/>
      <c r="AW414" s="18"/>
      <c r="AY414" s="1"/>
      <c r="AZ414" s="1"/>
      <c r="BA414" s="1"/>
      <c r="BB414" s="18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P414" s="1"/>
      <c r="BQ414" s="18"/>
      <c r="BR414" s="1"/>
      <c r="BS414" s="1"/>
      <c r="BT414" s="18">
        <f>77.67/100000</f>
        <v>7.7670000000000007E-4</v>
      </c>
      <c r="BU414" s="18">
        <f>74.19/100000</f>
        <v>7.4189999999999998E-4</v>
      </c>
      <c r="BV414" s="18">
        <f>76.04/100000</f>
        <v>7.6040000000000005E-4</v>
      </c>
      <c r="BW414" s="18">
        <f>77.25/100000</f>
        <v>7.7249999999999997E-4</v>
      </c>
      <c r="BX414" s="18">
        <f>78.22/100000</f>
        <v>7.8220000000000004E-4</v>
      </c>
      <c r="BY414" s="18">
        <f>79.47/100000</f>
        <v>7.9469999999999996E-4</v>
      </c>
      <c r="BZ414" s="18">
        <f>77.27/100000</f>
        <v>7.7269999999999997E-4</v>
      </c>
      <c r="CA414" s="18">
        <f>76.48/100000</f>
        <v>7.6480000000000005E-4</v>
      </c>
      <c r="CB414" s="1"/>
      <c r="CC414" s="1"/>
      <c r="CD414" s="1"/>
      <c r="CE414" s="1"/>
      <c r="CF414" s="1"/>
      <c r="CG414" s="1"/>
      <c r="CH414" s="65"/>
    </row>
    <row r="415" spans="1:86" x14ac:dyDescent="0.2">
      <c r="A415" s="3" t="s">
        <v>17</v>
      </c>
      <c r="B415" s="39">
        <v>587</v>
      </c>
      <c r="C415" s="82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AG415" s="1"/>
      <c r="AH415" s="1"/>
      <c r="AI415" s="1"/>
      <c r="AJ415" s="1"/>
      <c r="AK415" s="1"/>
      <c r="AL415" s="1"/>
      <c r="AM415" s="1"/>
      <c r="AN415" s="1"/>
      <c r="AO415" s="18"/>
      <c r="AQ415" s="1"/>
      <c r="AR415" s="1"/>
      <c r="AS415" s="18"/>
      <c r="AU415" s="1"/>
      <c r="AV415" s="1"/>
      <c r="AW415" s="18"/>
      <c r="AY415" s="1"/>
      <c r="AZ415" s="1"/>
      <c r="BA415" s="1"/>
      <c r="BB415" s="18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P415" s="18">
        <f>21.25/100000</f>
        <v>2.1249999999999999E-4</v>
      </c>
      <c r="BQ415" s="18">
        <f>22.86/100000</f>
        <v>2.286E-4</v>
      </c>
      <c r="BR415" s="18">
        <f>24.7/100000</f>
        <v>2.4699999999999999E-4</v>
      </c>
      <c r="BS415" s="18">
        <f>26.19/100000</f>
        <v>2.6190000000000002E-4</v>
      </c>
      <c r="BT415" s="18">
        <f>27.89/100000</f>
        <v>2.789E-4</v>
      </c>
      <c r="BU415" s="18">
        <f>26.45/100000</f>
        <v>2.6449999999999998E-4</v>
      </c>
      <c r="BV415" s="18">
        <f>28.18/100000</f>
        <v>2.8180000000000002E-4</v>
      </c>
      <c r="BW415" s="18">
        <f>29.81/100000</f>
        <v>2.9809999999999998E-4</v>
      </c>
      <c r="BX415" s="18">
        <f>31.66/100000</f>
        <v>3.166E-4</v>
      </c>
      <c r="BY415" s="18">
        <f>33.78/100000</f>
        <v>3.3780000000000003E-4</v>
      </c>
      <c r="BZ415" s="18">
        <f>35.45/100000</f>
        <v>3.5450000000000005E-4</v>
      </c>
      <c r="CA415" s="18"/>
      <c r="CB415" s="1"/>
      <c r="CC415" s="1"/>
      <c r="CD415" s="1"/>
      <c r="CE415" s="1"/>
      <c r="CF415" s="1"/>
      <c r="CG415" s="1"/>
      <c r="CH415" s="65"/>
    </row>
    <row r="416" spans="1:86" x14ac:dyDescent="0.2">
      <c r="A416" s="3" t="s">
        <v>17</v>
      </c>
      <c r="B416" s="39">
        <v>588</v>
      </c>
      <c r="C416" s="82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AG416" s="1"/>
      <c r="AH416" s="1"/>
      <c r="AI416" s="1"/>
      <c r="AJ416" s="1"/>
      <c r="AK416" s="1"/>
      <c r="AL416" s="1"/>
      <c r="AM416" s="1"/>
      <c r="AN416" s="1"/>
      <c r="AO416" s="18"/>
      <c r="AQ416" s="1"/>
      <c r="AR416" s="1"/>
      <c r="AS416" s="18"/>
      <c r="AU416" s="1"/>
      <c r="AV416" s="18">
        <f>16.8/100000</f>
        <v>1.6800000000000002E-4</v>
      </c>
      <c r="AZ416" s="1"/>
      <c r="BA416" s="1"/>
      <c r="BB416" s="18"/>
      <c r="BC416" s="1"/>
      <c r="BD416" s="1"/>
      <c r="BE416" s="1"/>
      <c r="BF416" s="18">
        <f>18.5/100000</f>
        <v>1.85E-4</v>
      </c>
      <c r="BI416" s="1"/>
      <c r="BJ416" s="1"/>
      <c r="BK416" s="1"/>
      <c r="BL416" s="1"/>
      <c r="BM416" s="1"/>
      <c r="BN416" s="1"/>
      <c r="BP416" s="18">
        <f>19.4/100000</f>
        <v>1.94E-4</v>
      </c>
      <c r="BR416" s="18"/>
      <c r="BS416" s="18"/>
      <c r="BT416" s="18"/>
      <c r="BU416" s="18"/>
      <c r="BV416" s="18"/>
      <c r="BW416" s="18"/>
      <c r="BX416" s="18"/>
      <c r="BY416" s="18"/>
      <c r="BZ416" s="18">
        <f>21.21/100000</f>
        <v>2.1210000000000001E-4</v>
      </c>
      <c r="CA416" s="18"/>
      <c r="CB416" s="1"/>
      <c r="CC416" s="1"/>
      <c r="CD416" s="1"/>
      <c r="CE416" s="1"/>
      <c r="CF416" s="1"/>
      <c r="CG416" s="1"/>
      <c r="CH416" s="65"/>
    </row>
    <row r="417" spans="1:86" x14ac:dyDescent="0.2">
      <c r="A417" s="3" t="s">
        <v>17</v>
      </c>
      <c r="B417" s="39">
        <v>589</v>
      </c>
      <c r="C417" s="82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AG417" s="1"/>
      <c r="AH417" s="1"/>
      <c r="AI417" s="1"/>
      <c r="AJ417" s="1"/>
      <c r="AK417" s="1"/>
      <c r="AL417" s="1"/>
      <c r="AM417" s="1"/>
      <c r="AN417" s="1"/>
      <c r="AO417" s="18"/>
      <c r="AQ417" s="1"/>
      <c r="AR417" s="1"/>
      <c r="AS417" s="18"/>
      <c r="AU417" s="1"/>
      <c r="AV417" s="18"/>
      <c r="AZ417" s="1"/>
      <c r="BA417" s="1"/>
      <c r="BB417" s="18"/>
      <c r="BC417" s="1"/>
      <c r="BD417" s="1"/>
      <c r="BE417" s="1"/>
      <c r="BF417" s="18"/>
      <c r="BI417" s="1"/>
      <c r="BJ417" s="1"/>
      <c r="BK417" s="1"/>
      <c r="BL417" s="1"/>
      <c r="BM417" s="1"/>
      <c r="BN417" s="1"/>
      <c r="BP417" s="18"/>
      <c r="BR417" s="18"/>
      <c r="BS417" s="18"/>
      <c r="BT417" s="18">
        <f>38.61/100000</f>
        <v>3.8610000000000001E-4</v>
      </c>
      <c r="BU417" s="18">
        <f>40.09/100000</f>
        <v>4.0090000000000004E-4</v>
      </c>
      <c r="BV417" s="18">
        <f>43.76/100000</f>
        <v>4.3759999999999996E-4</v>
      </c>
      <c r="BW417" s="18">
        <f>46.37/100000</f>
        <v>4.637E-4</v>
      </c>
      <c r="BX417" s="18">
        <f>46.6/100000</f>
        <v>4.66E-4</v>
      </c>
      <c r="BY417" s="18">
        <f>55.8/100000</f>
        <v>5.5800000000000001E-4</v>
      </c>
      <c r="BZ417" s="18"/>
      <c r="CA417" s="18"/>
      <c r="CB417" s="1"/>
      <c r="CC417" s="1"/>
      <c r="CD417" s="1"/>
      <c r="CE417" s="1"/>
      <c r="CF417" s="1"/>
      <c r="CG417" s="1"/>
      <c r="CH417" s="65"/>
    </row>
    <row r="418" spans="1:86" x14ac:dyDescent="0.2">
      <c r="A418" s="3" t="s">
        <v>17</v>
      </c>
      <c r="B418" s="39">
        <v>590</v>
      </c>
      <c r="C418" s="82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AG418" s="1"/>
      <c r="AH418" s="1"/>
      <c r="AI418" s="1"/>
      <c r="AJ418" s="1"/>
      <c r="AK418" s="1"/>
      <c r="AL418" s="1"/>
      <c r="AM418" s="1"/>
      <c r="AN418" s="1"/>
      <c r="AO418" s="18"/>
      <c r="AQ418" s="1"/>
      <c r="AR418" s="1"/>
      <c r="AS418" s="18"/>
      <c r="AU418" s="1"/>
      <c r="AV418" s="18"/>
      <c r="AZ418" s="1"/>
      <c r="BA418" s="1"/>
      <c r="BB418" s="18"/>
      <c r="BC418" s="1"/>
      <c r="BD418" s="1"/>
      <c r="BE418" s="1"/>
      <c r="BF418" s="18"/>
      <c r="BI418" s="1"/>
      <c r="BJ418" s="1"/>
      <c r="BK418" s="1"/>
      <c r="BL418" s="18">
        <f>4.77/10000</f>
        <v>4.7699999999999994E-4</v>
      </c>
      <c r="BM418" s="18">
        <f>5.17/10000</f>
        <v>5.1699999999999999E-4</v>
      </c>
      <c r="BN418" s="18">
        <f>5.34/10000</f>
        <v>5.3399999999999997E-4</v>
      </c>
      <c r="BO418" s="18">
        <f>5.54/10000</f>
        <v>5.5400000000000002E-4</v>
      </c>
      <c r="BP418" s="18">
        <f>5.88/10000</f>
        <v>5.8799999999999998E-4</v>
      </c>
      <c r="BQ418" s="18">
        <f>6.18/10000</f>
        <v>6.1799999999999995E-4</v>
      </c>
      <c r="BR418" s="18">
        <f>6.71/10000</f>
        <v>6.7100000000000005E-4</v>
      </c>
      <c r="BS418" s="18">
        <f>7.01/10000</f>
        <v>7.0100000000000002E-4</v>
      </c>
      <c r="BT418" s="18">
        <f>7.28/10000</f>
        <v>7.2800000000000002E-4</v>
      </c>
      <c r="BU418" s="18">
        <f>7.84/10000</f>
        <v>7.8399999999999997E-4</v>
      </c>
      <c r="BV418" s="18">
        <f>8.11/10000</f>
        <v>8.1099999999999998E-4</v>
      </c>
      <c r="BW418" s="18"/>
      <c r="BX418" s="18"/>
      <c r="BY418" s="18"/>
      <c r="BZ418" s="18"/>
      <c r="CA418" s="18"/>
      <c r="CB418" s="1"/>
      <c r="CC418" s="1"/>
      <c r="CD418" s="1"/>
      <c r="CE418" s="1"/>
      <c r="CF418" s="1"/>
      <c r="CG418" s="1"/>
      <c r="CH418" s="65"/>
    </row>
    <row r="419" spans="1:86" x14ac:dyDescent="0.2">
      <c r="A419" s="3" t="s">
        <v>17</v>
      </c>
      <c r="B419" s="39">
        <v>591</v>
      </c>
      <c r="C419" s="82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AG419" s="1"/>
      <c r="AH419" s="1"/>
      <c r="AI419" s="1"/>
      <c r="AJ419" s="1"/>
      <c r="AK419" s="1"/>
      <c r="AL419" s="1"/>
      <c r="AM419" s="1"/>
      <c r="AN419" s="1"/>
      <c r="AO419" s="18"/>
      <c r="AQ419" s="1"/>
      <c r="AR419" s="1"/>
      <c r="AS419" s="18"/>
      <c r="AU419" s="1"/>
      <c r="AV419" s="18"/>
      <c r="AZ419" s="1"/>
      <c r="BA419" s="1"/>
      <c r="BB419" s="18"/>
      <c r="BC419" s="1"/>
      <c r="BD419" s="1"/>
      <c r="BE419" s="1"/>
      <c r="BF419" s="18"/>
      <c r="BI419" s="1"/>
      <c r="BJ419" s="1"/>
      <c r="BK419" s="1"/>
      <c r="BL419" s="18"/>
      <c r="BM419" s="18"/>
      <c r="BN419" s="18"/>
      <c r="BO419" s="18"/>
      <c r="BP419" s="18"/>
      <c r="BQ419" s="18"/>
      <c r="BR419" s="18"/>
      <c r="BS419" s="18"/>
      <c r="BT419" s="18">
        <f>184/100000</f>
        <v>1.8400000000000001E-3</v>
      </c>
      <c r="BU419" s="18">
        <f>191.2/100000</f>
        <v>1.9119999999999999E-3</v>
      </c>
      <c r="BV419" s="18">
        <f>207.9/100000</f>
        <v>2.0790000000000001E-3</v>
      </c>
      <c r="BW419" s="18">
        <f>218.3/100000</f>
        <v>2.183E-3</v>
      </c>
      <c r="BX419" s="18">
        <f>224.6/100000</f>
        <v>2.2459999999999997E-3</v>
      </c>
      <c r="BY419" s="18">
        <f>230.7/100000</f>
        <v>2.307E-3</v>
      </c>
      <c r="BZ419" s="18">
        <f>227.5/100000</f>
        <v>2.2750000000000001E-3</v>
      </c>
      <c r="CA419" s="18">
        <f>239.5/100000</f>
        <v>2.395E-3</v>
      </c>
      <c r="CB419" s="1"/>
      <c r="CC419" s="1"/>
      <c r="CD419" s="1"/>
      <c r="CE419" s="1"/>
      <c r="CF419" s="1"/>
      <c r="CG419" s="1"/>
      <c r="CH419" s="65"/>
    </row>
    <row r="420" spans="1:86" x14ac:dyDescent="0.2">
      <c r="A420" s="3" t="s">
        <v>17</v>
      </c>
      <c r="B420" s="39">
        <v>592</v>
      </c>
      <c r="C420" s="82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AG420" s="1"/>
      <c r="AH420" s="1"/>
      <c r="AI420" s="1"/>
      <c r="AJ420" s="1"/>
      <c r="AK420" s="1"/>
      <c r="AL420" s="1"/>
      <c r="AM420" s="1"/>
      <c r="AN420" s="1"/>
      <c r="AO420" s="18"/>
      <c r="AQ420" s="1"/>
      <c r="AR420" s="1"/>
      <c r="AS420" s="18"/>
      <c r="AU420" s="1"/>
      <c r="AV420" s="18"/>
      <c r="AZ420" s="1"/>
      <c r="BA420" s="1"/>
      <c r="BB420" s="18"/>
      <c r="BC420" s="1"/>
      <c r="BD420" s="1"/>
      <c r="BE420" s="1"/>
      <c r="BF420" s="18"/>
      <c r="BI420" s="1"/>
      <c r="BJ420" s="1"/>
      <c r="BK420" s="1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>
        <v>1.5499999999999999E-3</v>
      </c>
      <c r="BX420" s="18">
        <v>1.48E-3</v>
      </c>
      <c r="BY420" s="18">
        <v>1.75E-3</v>
      </c>
      <c r="BZ420" s="18">
        <v>1.64E-3</v>
      </c>
      <c r="CA420" s="18">
        <v>1.65E-3</v>
      </c>
      <c r="CB420" s="1"/>
      <c r="CC420" s="1"/>
      <c r="CD420" s="1"/>
      <c r="CE420" s="1"/>
      <c r="CF420" s="1"/>
      <c r="CG420" s="1"/>
      <c r="CH420" s="65"/>
    </row>
    <row r="421" spans="1:86" x14ac:dyDescent="0.2">
      <c r="A421" s="3" t="s">
        <v>17</v>
      </c>
      <c r="B421" s="39">
        <v>593</v>
      </c>
      <c r="C421" s="82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AG421" s="1"/>
      <c r="AH421" s="1"/>
      <c r="AI421" s="1"/>
      <c r="AJ421" s="1"/>
      <c r="AK421" s="1"/>
      <c r="AL421" s="1"/>
      <c r="AM421" s="1"/>
      <c r="AN421" s="1"/>
      <c r="AO421" s="18"/>
      <c r="AQ421" s="1"/>
      <c r="AR421" s="1"/>
      <c r="AS421" s="18"/>
      <c r="AU421" s="1"/>
      <c r="AV421" s="18"/>
      <c r="AZ421" s="1"/>
      <c r="BA421" s="1"/>
      <c r="BB421" s="18"/>
      <c r="BC421" s="1"/>
      <c r="BD421" s="1"/>
      <c r="BE421" s="1"/>
      <c r="BF421" s="18"/>
      <c r="BI421" s="1"/>
      <c r="BJ421" s="1"/>
      <c r="BK421" s="1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>
        <f>62.5/100000</f>
        <v>6.2500000000000001E-4</v>
      </c>
      <c r="BX421" s="18">
        <f>63.5/100000</f>
        <v>6.3500000000000004E-4</v>
      </c>
      <c r="BY421" s="18">
        <f>64.6/100000</f>
        <v>6.4599999999999998E-4</v>
      </c>
      <c r="BZ421" s="18">
        <f>66.1/100000</f>
        <v>6.6099999999999991E-4</v>
      </c>
      <c r="CA421" s="18">
        <f>67.6/100000</f>
        <v>6.7599999999999995E-4</v>
      </c>
      <c r="CB421" s="18">
        <f>69.2/100000</f>
        <v>6.9200000000000002E-4</v>
      </c>
      <c r="CC421" s="18">
        <f>69.9/100000</f>
        <v>6.9900000000000008E-4</v>
      </c>
      <c r="CD421" s="18">
        <f>70.3/100000</f>
        <v>7.0299999999999996E-4</v>
      </c>
      <c r="CE421" s="18">
        <f>71.2/100000</f>
        <v>7.1200000000000007E-4</v>
      </c>
      <c r="CF421" s="1"/>
      <c r="CG421" s="1"/>
      <c r="CH421" s="65"/>
    </row>
    <row r="422" spans="1:86" s="46" customFormat="1" x14ac:dyDescent="0.2">
      <c r="A422" s="38" t="s">
        <v>17</v>
      </c>
      <c r="B422" s="40">
        <v>594</v>
      </c>
      <c r="C422" s="83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AG422" s="53"/>
      <c r="AH422" s="53"/>
      <c r="AI422" s="53"/>
      <c r="AJ422" s="53"/>
      <c r="AK422" s="53"/>
      <c r="AL422" s="53"/>
      <c r="AM422" s="53"/>
      <c r="AN422" s="53"/>
      <c r="AO422" s="68"/>
      <c r="AQ422" s="53"/>
      <c r="AR422" s="53"/>
      <c r="AS422" s="68"/>
      <c r="AU422" s="53"/>
      <c r="AV422" s="68"/>
      <c r="AZ422" s="53"/>
      <c r="BA422" s="53"/>
      <c r="BB422" s="68"/>
      <c r="BC422" s="53"/>
      <c r="BD422" s="53"/>
      <c r="BE422" s="53"/>
      <c r="BF422" s="68"/>
      <c r="BI422" s="53"/>
      <c r="BJ422" s="53"/>
      <c r="BK422" s="53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>
        <f>66.1/100000</f>
        <v>6.6099999999999991E-4</v>
      </c>
      <c r="BV422" s="68">
        <f>68.2/100000</f>
        <v>6.8199999999999999E-4</v>
      </c>
      <c r="BW422" s="68">
        <f>70.3/100000</f>
        <v>7.0299999999999996E-4</v>
      </c>
      <c r="BX422" s="68">
        <f>71.9/100000</f>
        <v>7.1900000000000002E-4</v>
      </c>
      <c r="BY422" s="68">
        <f>73.2/100000</f>
        <v>7.3200000000000001E-4</v>
      </c>
      <c r="BZ422" s="68">
        <f>73.9/100000</f>
        <v>7.3900000000000007E-4</v>
      </c>
      <c r="CA422" s="68">
        <f>75.3/100000</f>
        <v>7.5299999999999998E-4</v>
      </c>
      <c r="CB422" s="68">
        <f>75.7/100000</f>
        <v>7.5700000000000008E-4</v>
      </c>
      <c r="CC422" s="68">
        <f>75.5/100000</f>
        <v>7.5500000000000003E-4</v>
      </c>
      <c r="CD422" s="68">
        <f>75.8/100000</f>
        <v>7.5799999999999999E-4</v>
      </c>
      <c r="CE422" s="68">
        <f>75.6/100000</f>
        <v>7.5599999999999994E-4</v>
      </c>
      <c r="CF422" s="68">
        <f>75.6/100000</f>
        <v>7.5599999999999994E-4</v>
      </c>
      <c r="CG422" s="53"/>
      <c r="CH422" s="55"/>
    </row>
    <row r="423" spans="1:86" x14ac:dyDescent="0.2">
      <c r="A423" s="3" t="s">
        <v>18</v>
      </c>
      <c r="B423" s="39">
        <v>595</v>
      </c>
      <c r="C423" s="82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AQ423" s="5"/>
      <c r="AU423" s="5">
        <v>0.26300000000000001</v>
      </c>
      <c r="BB423" s="5">
        <v>0.433</v>
      </c>
      <c r="BK423" s="5"/>
      <c r="BP423"/>
      <c r="BR423"/>
      <c r="BS423"/>
      <c r="BU423" s="5"/>
      <c r="CH423" s="44"/>
    </row>
    <row r="424" spans="1:86" x14ac:dyDescent="0.2">
      <c r="A424" s="3" t="s">
        <v>18</v>
      </c>
      <c r="B424" s="39">
        <v>596</v>
      </c>
      <c r="C424" s="82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AQ424" s="5"/>
      <c r="AU424" s="5">
        <v>0.49299999999999999</v>
      </c>
      <c r="BG424" s="5">
        <v>0.65600000000000003</v>
      </c>
      <c r="BK424" s="5"/>
      <c r="BP424"/>
      <c r="BR424"/>
      <c r="BS424"/>
      <c r="BU424" s="5"/>
      <c r="CH424" s="44"/>
    </row>
    <row r="425" spans="1:86" x14ac:dyDescent="0.2">
      <c r="A425" s="3" t="s">
        <v>18</v>
      </c>
      <c r="B425" s="39">
        <v>597</v>
      </c>
      <c r="C425" s="82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AQ425" s="5"/>
      <c r="AT425" s="5">
        <v>5.8000000000000003E-2</v>
      </c>
      <c r="AU425" s="5"/>
      <c r="AW425" s="5">
        <v>0.03</v>
      </c>
      <c r="BA425" s="5">
        <v>6.6000000000000003E-2</v>
      </c>
      <c r="BF425" s="5">
        <v>0.12</v>
      </c>
      <c r="BG425" s="5"/>
      <c r="BK425" s="5">
        <v>0.2</v>
      </c>
      <c r="BP425"/>
      <c r="BR425"/>
      <c r="BS425"/>
      <c r="BU425" s="5"/>
      <c r="CH425" s="44"/>
    </row>
    <row r="426" spans="1:86" x14ac:dyDescent="0.2">
      <c r="A426" s="3" t="s">
        <v>18</v>
      </c>
      <c r="B426" s="39">
        <v>597</v>
      </c>
      <c r="C426" s="82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AQ426" s="5"/>
      <c r="AT426" s="5">
        <v>0.377</v>
      </c>
      <c r="AU426" s="5"/>
      <c r="AW426" s="5">
        <v>0.27500000000000002</v>
      </c>
      <c r="BA426" s="5">
        <v>0.35199999999999998</v>
      </c>
      <c r="BF426" s="5">
        <v>0.56000000000000005</v>
      </c>
      <c r="BG426" s="5"/>
      <c r="BK426" s="5">
        <v>0.61</v>
      </c>
      <c r="BP426"/>
      <c r="BR426"/>
      <c r="BS426"/>
      <c r="BU426" s="5"/>
      <c r="CH426" s="44"/>
    </row>
    <row r="427" spans="1:86" x14ac:dyDescent="0.2">
      <c r="A427" s="3" t="s">
        <v>18</v>
      </c>
      <c r="B427" s="39">
        <v>597</v>
      </c>
      <c r="C427" s="82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AQ427" s="5"/>
      <c r="AT427" s="5">
        <v>0.64200000000000002</v>
      </c>
      <c r="AU427" s="5"/>
      <c r="AW427" s="5">
        <v>0.61599999999999999</v>
      </c>
      <c r="BA427" s="5">
        <v>0.74</v>
      </c>
      <c r="BF427" s="5">
        <v>0.76</v>
      </c>
      <c r="BG427" s="5"/>
      <c r="BK427" s="5">
        <v>0.81</v>
      </c>
      <c r="BP427"/>
      <c r="BR427"/>
      <c r="BS427"/>
      <c r="BU427" s="5"/>
      <c r="CH427" s="44"/>
    </row>
    <row r="428" spans="1:86" x14ac:dyDescent="0.2">
      <c r="A428" s="3" t="s">
        <v>18</v>
      </c>
      <c r="B428" s="39">
        <v>597</v>
      </c>
      <c r="C428" s="82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AQ428" s="5"/>
      <c r="AT428" s="5">
        <v>0.74</v>
      </c>
      <c r="AU428" s="5"/>
      <c r="AW428" s="5">
        <v>0.74</v>
      </c>
      <c r="BA428" s="5">
        <v>0.75</v>
      </c>
      <c r="BF428" s="5">
        <v>0.84</v>
      </c>
      <c r="BG428" s="5"/>
      <c r="BK428" s="5">
        <v>0.84</v>
      </c>
      <c r="BP428"/>
      <c r="BR428"/>
      <c r="BS428"/>
      <c r="BU428" s="5"/>
      <c r="CH428" s="44"/>
    </row>
    <row r="429" spans="1:86" x14ac:dyDescent="0.2">
      <c r="A429" s="3" t="s">
        <v>18</v>
      </c>
      <c r="B429" s="39">
        <v>598</v>
      </c>
      <c r="C429" s="82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AQ429" s="5"/>
      <c r="AT429" s="5"/>
      <c r="AU429" s="5"/>
      <c r="AW429" s="5"/>
      <c r="BA429" s="5">
        <v>0.20300000000000001</v>
      </c>
      <c r="BF429" s="5"/>
      <c r="BG429" s="5"/>
      <c r="BK429" s="5"/>
      <c r="BM429" s="5">
        <v>0.28299999999999997</v>
      </c>
      <c r="BP429"/>
      <c r="BR429"/>
      <c r="BS429"/>
      <c r="BU429" s="5"/>
      <c r="CH429" s="44"/>
    </row>
    <row r="430" spans="1:86" x14ac:dyDescent="0.2">
      <c r="A430" s="3" t="s">
        <v>18</v>
      </c>
      <c r="B430" s="39">
        <v>599</v>
      </c>
      <c r="C430" s="82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AA430" s="5">
        <v>0.14499999999999999</v>
      </c>
      <c r="BO430" s="5">
        <v>0.129</v>
      </c>
      <c r="BP430"/>
      <c r="BR430"/>
      <c r="BS430"/>
      <c r="CH430" s="44"/>
    </row>
    <row r="431" spans="1:86" x14ac:dyDescent="0.2">
      <c r="A431" s="3" t="s">
        <v>18</v>
      </c>
      <c r="B431" s="39">
        <v>599</v>
      </c>
      <c r="C431" s="82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AA431" s="5">
        <v>9.1999999999999998E-2</v>
      </c>
      <c r="AQ431" s="5"/>
      <c r="AT431" s="5"/>
      <c r="AU431" s="5"/>
      <c r="AW431" s="5"/>
      <c r="BA431" s="5"/>
      <c r="BF431" s="5"/>
      <c r="BG431" s="5"/>
      <c r="BK431" s="5"/>
      <c r="BM431" s="5"/>
      <c r="BO431" s="5">
        <v>7.6999999999999999E-2</v>
      </c>
      <c r="BP431"/>
      <c r="BR431"/>
      <c r="BS431"/>
      <c r="BU431" s="5"/>
      <c r="CH431" s="44"/>
    </row>
    <row r="432" spans="1:86" x14ac:dyDescent="0.2">
      <c r="A432" s="3" t="s">
        <v>18</v>
      </c>
      <c r="B432" s="39">
        <v>599</v>
      </c>
      <c r="C432" s="82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AA432" s="5">
        <v>6.0000000000000001E-3</v>
      </c>
      <c r="AQ432" s="5"/>
      <c r="AT432" s="5"/>
      <c r="AU432" s="5"/>
      <c r="AW432" s="5"/>
      <c r="BA432" s="5"/>
      <c r="BF432" s="5"/>
      <c r="BG432" s="5"/>
      <c r="BK432" s="5"/>
      <c r="BM432" s="5"/>
      <c r="BO432" s="5">
        <v>3.0000000000000001E-3</v>
      </c>
      <c r="BP432"/>
      <c r="BR432"/>
      <c r="BS432"/>
      <c r="BU432" s="5"/>
      <c r="CH432" s="44"/>
    </row>
    <row r="433" spans="1:86" x14ac:dyDescent="0.2">
      <c r="A433" s="3" t="s">
        <v>18</v>
      </c>
      <c r="B433" s="39">
        <v>600</v>
      </c>
      <c r="C433" s="82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AA433" s="5"/>
      <c r="AI433" s="5">
        <v>0.25</v>
      </c>
      <c r="AQ433" s="5"/>
      <c r="AT433" s="5"/>
      <c r="AU433" s="5"/>
      <c r="AW433" s="5"/>
      <c r="BA433" s="5"/>
      <c r="BF433" s="5"/>
      <c r="BG433" s="5"/>
      <c r="BK433" s="5"/>
      <c r="BM433" s="5"/>
      <c r="BO433" s="5">
        <v>0.41599999999999998</v>
      </c>
      <c r="BP433"/>
      <c r="BR433"/>
      <c r="BS433"/>
      <c r="BU433" s="5"/>
      <c r="CH433" s="44"/>
    </row>
    <row r="434" spans="1:86" x14ac:dyDescent="0.2">
      <c r="A434" s="3" t="s">
        <v>18</v>
      </c>
      <c r="B434" s="39">
        <v>601</v>
      </c>
      <c r="C434" s="82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AA434" s="5"/>
      <c r="AI434" s="5"/>
      <c r="AQ434" s="5"/>
      <c r="AT434" s="5"/>
      <c r="AU434" s="5"/>
      <c r="AW434" s="5"/>
      <c r="BA434" s="5"/>
      <c r="BB434" s="5">
        <v>0.25</v>
      </c>
      <c r="BF434" s="5"/>
      <c r="BG434" s="5"/>
      <c r="BK434" s="5"/>
      <c r="BM434" s="5"/>
      <c r="BO434" s="5"/>
      <c r="BP434"/>
      <c r="BR434"/>
      <c r="BS434"/>
      <c r="BU434" s="5">
        <v>0.183</v>
      </c>
      <c r="CH434" s="44"/>
    </row>
    <row r="435" spans="1:86" x14ac:dyDescent="0.2">
      <c r="A435" s="3" t="s">
        <v>18</v>
      </c>
      <c r="B435" s="39">
        <v>601</v>
      </c>
      <c r="C435" s="82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BB435" s="5">
        <v>0.64</v>
      </c>
      <c r="BP435"/>
      <c r="BR435"/>
      <c r="BS435"/>
      <c r="BU435" s="5">
        <v>0.61499999999999999</v>
      </c>
      <c r="CH435" s="44"/>
    </row>
    <row r="436" spans="1:86" x14ac:dyDescent="0.2">
      <c r="A436" s="3" t="s">
        <v>18</v>
      </c>
      <c r="B436" s="39">
        <v>602</v>
      </c>
      <c r="C436" s="82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BB436" s="5"/>
      <c r="BI436" s="5">
        <v>0.13100000000000001</v>
      </c>
      <c r="BP436"/>
      <c r="BR436"/>
      <c r="BS436"/>
      <c r="BU436" s="5">
        <v>0.14799999999999999</v>
      </c>
      <c r="CH436" s="44"/>
    </row>
    <row r="437" spans="1:86" x14ac:dyDescent="0.2">
      <c r="A437" s="3" t="s">
        <v>18</v>
      </c>
      <c r="B437" s="39">
        <v>603</v>
      </c>
      <c r="C437" s="82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AY437" s="5">
        <v>6.2E-2</v>
      </c>
      <c r="BB437" s="5"/>
      <c r="BI437" s="5"/>
      <c r="BP437"/>
      <c r="BR437" s="5">
        <v>0.14499999999999999</v>
      </c>
      <c r="BS437"/>
      <c r="BU437" s="5"/>
      <c r="CH437" s="44"/>
    </row>
    <row r="438" spans="1:86" x14ac:dyDescent="0.2">
      <c r="A438" s="3" t="s">
        <v>18</v>
      </c>
      <c r="B438" s="39">
        <v>603</v>
      </c>
      <c r="C438" s="82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AY438" s="5">
        <v>0.625</v>
      </c>
      <c r="BB438" s="5"/>
      <c r="BI438" s="5"/>
      <c r="BP438"/>
      <c r="BR438" s="5">
        <v>0.84109999999999996</v>
      </c>
      <c r="BS438"/>
      <c r="BU438" s="5"/>
      <c r="CH438" s="44"/>
    </row>
    <row r="439" spans="1:86" x14ac:dyDescent="0.2">
      <c r="A439" s="3" t="s">
        <v>18</v>
      </c>
      <c r="B439" s="39">
        <v>604</v>
      </c>
      <c r="C439" s="82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AY439" s="5"/>
      <c r="BB439" s="5"/>
      <c r="BH439" s="5">
        <v>0.79200000000000004</v>
      </c>
      <c r="BI439" s="5"/>
      <c r="BP439"/>
      <c r="BR439" s="5"/>
      <c r="BS439"/>
      <c r="BU439" s="5">
        <v>0.81599999999999995</v>
      </c>
      <c r="CH439" s="44"/>
    </row>
    <row r="440" spans="1:86" x14ac:dyDescent="0.2">
      <c r="A440" s="3" t="s">
        <v>18</v>
      </c>
      <c r="B440" s="39">
        <v>604</v>
      </c>
      <c r="C440" s="82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AY440" s="5"/>
      <c r="BB440" s="5"/>
      <c r="BH440" s="5">
        <v>0.13100000000000001</v>
      </c>
      <c r="BI440" s="5"/>
      <c r="BP440"/>
      <c r="BR440" s="5"/>
      <c r="BS440"/>
      <c r="BU440" s="5">
        <v>0.14699999999999999</v>
      </c>
      <c r="CH440" s="44"/>
    </row>
    <row r="441" spans="1:86" x14ac:dyDescent="0.2">
      <c r="A441" s="3" t="s">
        <v>18</v>
      </c>
      <c r="B441" s="39">
        <v>605</v>
      </c>
      <c r="C441" s="82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AY441" s="5"/>
      <c r="BB441" s="5"/>
      <c r="BH441" s="5"/>
      <c r="BI441" s="5"/>
      <c r="BM441" s="5">
        <v>0.23400000000000001</v>
      </c>
      <c r="BP441"/>
      <c r="BR441" s="5"/>
      <c r="BS441"/>
      <c r="BU441" s="5"/>
      <c r="BY441" s="5">
        <v>0.41299999999999998</v>
      </c>
      <c r="CH441" s="44"/>
    </row>
    <row r="442" spans="1:86" x14ac:dyDescent="0.2">
      <c r="A442" s="3" t="s">
        <v>18</v>
      </c>
      <c r="B442" s="39">
        <v>606</v>
      </c>
      <c r="C442" s="82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AY442" s="5"/>
      <c r="BB442" s="5"/>
      <c r="BH442" s="5"/>
      <c r="BI442" s="5"/>
      <c r="BM442" s="5"/>
      <c r="BP442"/>
      <c r="BQ442" s="5">
        <v>0.19719999999999999</v>
      </c>
      <c r="BR442" s="5"/>
      <c r="BS442"/>
      <c r="BU442" s="5"/>
      <c r="BY442" s="5"/>
      <c r="BZ442" s="5">
        <v>0.38059999999999999</v>
      </c>
      <c r="CH442" s="44"/>
    </row>
    <row r="443" spans="1:86" x14ac:dyDescent="0.2">
      <c r="A443" s="3" t="s">
        <v>18</v>
      </c>
      <c r="B443" s="39">
        <v>606</v>
      </c>
      <c r="C443" s="82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AY443" s="5"/>
      <c r="BB443" s="5"/>
      <c r="BH443" s="5"/>
      <c r="BI443" s="5"/>
      <c r="BM443" s="5"/>
      <c r="BP443"/>
      <c r="BQ443" s="5">
        <v>3.9600000000000003E-2</v>
      </c>
      <c r="BR443" s="5"/>
      <c r="BS443"/>
      <c r="BU443" s="5"/>
      <c r="BY443" s="5"/>
      <c r="BZ443" s="5">
        <v>6.6900000000000001E-2</v>
      </c>
      <c r="CH443" s="44"/>
    </row>
    <row r="444" spans="1:86" x14ac:dyDescent="0.2">
      <c r="A444" s="3" t="s">
        <v>18</v>
      </c>
      <c r="B444" s="39">
        <v>607</v>
      </c>
      <c r="C444" s="82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AB444" s="5">
        <v>0.40799999999999997</v>
      </c>
      <c r="AK444" s="5">
        <v>0.48599999999999999</v>
      </c>
      <c r="AR444" s="5">
        <v>0.73399999999999999</v>
      </c>
      <c r="AY444" s="5"/>
      <c r="BB444" s="5"/>
      <c r="BH444" s="5"/>
      <c r="BI444" s="5"/>
      <c r="BM444" s="5"/>
      <c r="BP444"/>
      <c r="BQ444" s="5"/>
      <c r="BR444" s="5"/>
      <c r="BS444"/>
      <c r="BU444" s="5"/>
      <c r="BY444" s="5"/>
      <c r="BZ444" s="5"/>
      <c r="CH444" s="44"/>
    </row>
    <row r="445" spans="1:86" x14ac:dyDescent="0.2">
      <c r="A445" s="3" t="s">
        <v>18</v>
      </c>
      <c r="B445" s="39">
        <v>608</v>
      </c>
      <c r="C445" s="82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AB445" s="5"/>
      <c r="AK445" s="5"/>
      <c r="AR445" s="5"/>
      <c r="AY445" s="5"/>
      <c r="BB445" s="5"/>
      <c r="BH445" s="5"/>
      <c r="BI445" s="5"/>
      <c r="BL445" s="5">
        <v>0.79500000000000004</v>
      </c>
      <c r="BM445" s="5"/>
      <c r="BP445"/>
      <c r="BQ445" s="5"/>
      <c r="BR445" s="5"/>
      <c r="BS445"/>
      <c r="BU445" s="5"/>
      <c r="BY445" s="5"/>
      <c r="BZ445" s="5">
        <v>0.877</v>
      </c>
      <c r="CH445" s="44"/>
    </row>
    <row r="446" spans="1:86" x14ac:dyDescent="0.2">
      <c r="A446" s="3" t="s">
        <v>18</v>
      </c>
      <c r="B446" s="39">
        <v>609</v>
      </c>
      <c r="C446" s="82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AB446" s="5"/>
      <c r="AK446" s="5"/>
      <c r="AR446" s="5"/>
      <c r="AY446" s="5">
        <v>0.20399999999999999</v>
      </c>
      <c r="BB446" s="5"/>
      <c r="BH446" s="5"/>
      <c r="BI446" s="5"/>
      <c r="BL446" s="5"/>
      <c r="BM446" s="5"/>
      <c r="BP446"/>
      <c r="BQ446" s="5"/>
      <c r="BR446" s="5"/>
      <c r="BS446"/>
      <c r="BU446" s="5">
        <v>0.26200000000000001</v>
      </c>
      <c r="BY446" s="5"/>
      <c r="BZ446" s="5"/>
      <c r="CH446" s="44"/>
    </row>
    <row r="447" spans="1:86" x14ac:dyDescent="0.2">
      <c r="A447" s="3" t="s">
        <v>18</v>
      </c>
      <c r="B447" s="39">
        <v>610</v>
      </c>
      <c r="C447" s="82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AB447" s="5"/>
      <c r="AK447" s="5"/>
      <c r="AR447" s="5"/>
      <c r="AY447" s="5"/>
      <c r="BB447" s="5"/>
      <c r="BH447" s="5"/>
      <c r="BI447" s="5"/>
      <c r="BL447" s="5"/>
      <c r="BM447" s="5"/>
      <c r="BP447" s="5">
        <v>0.377</v>
      </c>
      <c r="BQ447" s="5"/>
      <c r="BR447" s="5"/>
      <c r="BS447"/>
      <c r="BU447" s="5"/>
      <c r="BY447" s="5"/>
      <c r="BZ447" s="5"/>
      <c r="CB447" s="5">
        <v>0.45800000000000002</v>
      </c>
      <c r="CH447" s="44"/>
    </row>
    <row r="448" spans="1:86" x14ac:dyDescent="0.2">
      <c r="A448" s="3" t="s">
        <v>18</v>
      </c>
      <c r="B448" s="39">
        <v>610</v>
      </c>
      <c r="C448" s="82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AB448" s="5"/>
      <c r="AK448" s="5"/>
      <c r="AR448" s="5"/>
      <c r="AY448" s="5"/>
      <c r="BB448" s="5"/>
      <c r="BH448" s="5"/>
      <c r="BI448" s="5"/>
      <c r="BL448" s="5"/>
      <c r="BM448" s="5"/>
      <c r="BP448" s="5">
        <v>5.8000000000000003E-2</v>
      </c>
      <c r="BQ448" s="5"/>
      <c r="BR448" s="5"/>
      <c r="BS448"/>
      <c r="BU448" s="5"/>
      <c r="BY448" s="5"/>
      <c r="BZ448" s="5"/>
      <c r="CB448" s="5">
        <v>9.5000000000000001E-2</v>
      </c>
      <c r="CH448" s="44"/>
    </row>
    <row r="449" spans="1:86" x14ac:dyDescent="0.2">
      <c r="A449" s="3" t="s">
        <v>18</v>
      </c>
      <c r="B449" s="39">
        <v>611</v>
      </c>
      <c r="C449" s="82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AB449" s="5"/>
      <c r="AK449" s="5"/>
      <c r="AR449" s="5"/>
      <c r="AY449" s="5"/>
      <c r="BB449" s="5"/>
      <c r="BH449" s="5"/>
      <c r="BI449" s="5"/>
      <c r="BL449" s="5"/>
      <c r="BM449" s="5"/>
      <c r="BP449" s="5"/>
      <c r="BQ449" s="5"/>
      <c r="BR449" s="5"/>
      <c r="BS449"/>
      <c r="BU449" s="5"/>
      <c r="BY449" s="5">
        <v>3.5000000000000003E-2</v>
      </c>
      <c r="BZ449" s="5"/>
      <c r="CA449" s="5">
        <v>4.3999999999999997E-2</v>
      </c>
      <c r="CB449" s="5"/>
      <c r="CC449" s="5">
        <v>4.2999999999999997E-2</v>
      </c>
      <c r="CH449" s="44"/>
    </row>
    <row r="450" spans="1:86" x14ac:dyDescent="0.2">
      <c r="A450" s="3" t="s">
        <v>18</v>
      </c>
      <c r="B450" s="39">
        <v>70</v>
      </c>
      <c r="C450" s="82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AB450" s="5"/>
      <c r="AK450" s="5"/>
      <c r="AR450" s="5"/>
      <c r="AY450" s="5"/>
      <c r="BB450" s="5"/>
      <c r="BH450" s="5"/>
      <c r="BI450" s="5"/>
      <c r="BL450" s="5"/>
      <c r="BM450" s="5"/>
      <c r="BP450" s="5"/>
      <c r="BQ450" s="5"/>
      <c r="BR450" s="5"/>
      <c r="BS450" s="5">
        <v>0.24</v>
      </c>
      <c r="BU450" s="5"/>
      <c r="BY450" s="5"/>
      <c r="BZ450" s="5"/>
      <c r="CA450" s="5"/>
      <c r="CB450" s="5">
        <v>0.32</v>
      </c>
      <c r="CC450" s="5"/>
      <c r="CH450" s="44"/>
    </row>
    <row r="451" spans="1:86" x14ac:dyDescent="0.2">
      <c r="A451" s="3" t="s">
        <v>18</v>
      </c>
      <c r="B451" s="39">
        <v>612</v>
      </c>
      <c r="C451" s="82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AB451" s="5"/>
      <c r="AK451" s="5"/>
      <c r="AR451" s="5"/>
      <c r="AY451" s="5"/>
      <c r="BB451" s="5"/>
      <c r="BH451" s="5"/>
      <c r="BI451" s="5"/>
      <c r="BL451" s="5"/>
      <c r="BM451" s="5"/>
      <c r="BP451" s="5"/>
      <c r="BQ451" s="5">
        <v>0.11600000000000001</v>
      </c>
      <c r="BR451" s="5"/>
      <c r="BS451" s="5"/>
      <c r="BU451" s="5"/>
      <c r="BY451" s="5"/>
      <c r="BZ451" s="5"/>
      <c r="CA451" s="5"/>
      <c r="CB451" s="5">
        <v>0.114</v>
      </c>
      <c r="CC451" s="5"/>
      <c r="CH451" s="44"/>
    </row>
    <row r="452" spans="1:86" x14ac:dyDescent="0.2">
      <c r="A452" s="3" t="s">
        <v>18</v>
      </c>
      <c r="B452" s="39">
        <v>613</v>
      </c>
      <c r="C452" s="82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AB452" s="5"/>
      <c r="AK452" s="5"/>
      <c r="AR452" s="5"/>
      <c r="AY452" s="5"/>
      <c r="BB452" s="5"/>
      <c r="BH452" s="5"/>
      <c r="BI452" s="5"/>
      <c r="BK452" s="5">
        <v>0.22900000000000001</v>
      </c>
      <c r="BL452" s="5"/>
      <c r="BM452" s="5"/>
      <c r="BP452" s="5"/>
      <c r="BQ452" s="5"/>
      <c r="BR452" s="5"/>
      <c r="BS452" s="5"/>
      <c r="BU452" s="5">
        <v>0.28299999999999997</v>
      </c>
      <c r="BY452" s="5"/>
      <c r="BZ452" s="5"/>
      <c r="CA452" s="5"/>
      <c r="CB452" s="5"/>
      <c r="CC452" s="5"/>
      <c r="CE452" s="5">
        <v>0.34</v>
      </c>
      <c r="CH452" s="44"/>
    </row>
    <row r="453" spans="1:86" x14ac:dyDescent="0.2">
      <c r="A453" s="3" t="s">
        <v>18</v>
      </c>
      <c r="B453" s="39">
        <v>614</v>
      </c>
      <c r="C453" s="82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AB453" s="5"/>
      <c r="AK453" s="5"/>
      <c r="AR453" s="5"/>
      <c r="AY453" s="5"/>
      <c r="BA453" s="5">
        <v>0.21299999999999999</v>
      </c>
      <c r="BB453" s="5"/>
      <c r="BH453" s="5"/>
      <c r="BI453" s="5"/>
      <c r="BK453" s="5"/>
      <c r="BL453" s="5"/>
      <c r="BM453" s="5"/>
      <c r="BP453" s="5"/>
      <c r="BQ453" s="5"/>
      <c r="BR453" s="5"/>
      <c r="BS453" s="5"/>
      <c r="BU453" s="5">
        <v>0.29899999999999999</v>
      </c>
      <c r="BY453" s="5"/>
      <c r="BZ453" s="5"/>
      <c r="CA453" s="5"/>
      <c r="CB453" s="5"/>
      <c r="CC453" s="5"/>
      <c r="CE453" s="5"/>
      <c r="CH453" s="44"/>
    </row>
    <row r="454" spans="1:86" x14ac:dyDescent="0.2">
      <c r="A454" s="3" t="s">
        <v>18</v>
      </c>
      <c r="B454" s="39">
        <v>614</v>
      </c>
      <c r="C454" s="82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AB454" s="5"/>
      <c r="AK454" s="5"/>
      <c r="AR454" s="5"/>
      <c r="AY454" s="5"/>
      <c r="BA454" s="5">
        <v>0.13900000000000001</v>
      </c>
      <c r="BB454" s="5"/>
      <c r="BH454" s="5"/>
      <c r="BI454" s="5"/>
      <c r="BK454" s="5"/>
      <c r="BL454" s="5"/>
      <c r="BM454" s="5"/>
      <c r="BP454" s="5"/>
      <c r="BQ454" s="5"/>
      <c r="BR454" s="5"/>
      <c r="BS454" s="5"/>
      <c r="BU454" s="5">
        <v>0.19600000000000001</v>
      </c>
      <c r="BY454" s="5"/>
      <c r="BZ454" s="5"/>
      <c r="CA454" s="5"/>
      <c r="CB454" s="5"/>
      <c r="CC454" s="5"/>
      <c r="CE454" s="5"/>
      <c r="CH454" s="44"/>
    </row>
    <row r="455" spans="1:86" x14ac:dyDescent="0.2">
      <c r="A455" s="3" t="s">
        <v>18</v>
      </c>
      <c r="B455" s="39">
        <v>615</v>
      </c>
      <c r="C455" s="82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AB455" s="5"/>
      <c r="AK455" s="5"/>
      <c r="AR455" s="5"/>
      <c r="AT455" s="5">
        <v>0.75260000000000005</v>
      </c>
      <c r="AW455" s="5">
        <v>0.83840000000000003</v>
      </c>
      <c r="AY455" s="5"/>
      <c r="BA455" s="5">
        <v>0.91080000000000005</v>
      </c>
      <c r="BB455" s="5"/>
      <c r="BF455" s="5">
        <v>0.91249999999999998</v>
      </c>
      <c r="BH455" s="5"/>
      <c r="BI455" s="5"/>
      <c r="BK455" s="5">
        <v>0.98660000000000003</v>
      </c>
      <c r="BL455" s="5"/>
      <c r="BM455" s="5"/>
      <c r="BP455" s="5">
        <v>0.96009999999999995</v>
      </c>
      <c r="BQ455" s="5"/>
      <c r="BR455" s="5"/>
      <c r="BS455" s="5"/>
      <c r="BU455" s="5">
        <v>0.99060000000000004</v>
      </c>
      <c r="BY455" s="5"/>
      <c r="BZ455" s="5"/>
      <c r="CA455" s="5">
        <v>0.98340000000000005</v>
      </c>
      <c r="CB455" s="5"/>
      <c r="CC455" s="5"/>
      <c r="CE455" s="5"/>
      <c r="CH455" s="44"/>
    </row>
    <row r="456" spans="1:86" x14ac:dyDescent="0.2">
      <c r="A456" s="3" t="s">
        <v>18</v>
      </c>
      <c r="B456" s="39">
        <v>616</v>
      </c>
      <c r="C456" s="82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AB456" s="5"/>
      <c r="AK456" s="5"/>
      <c r="AR456" s="5"/>
      <c r="AT456" s="5"/>
      <c r="AW456" s="5"/>
      <c r="AY456" s="5"/>
      <c r="BA456" s="5"/>
      <c r="BB456" s="5"/>
      <c r="BF456" s="5"/>
      <c r="BH456" s="5"/>
      <c r="BI456" s="5"/>
      <c r="BJ456" s="5">
        <v>4.3999999999999997E-2</v>
      </c>
      <c r="BK456" s="5"/>
      <c r="BL456" s="5"/>
      <c r="BM456" s="5"/>
      <c r="BP456" s="5"/>
      <c r="BQ456" s="5"/>
      <c r="BR456" s="5"/>
      <c r="BS456" s="5"/>
      <c r="BU456" s="5"/>
      <c r="BY456" s="5"/>
      <c r="BZ456" s="5"/>
      <c r="CA456" s="5"/>
      <c r="CB456" s="5"/>
      <c r="CC456" s="5"/>
      <c r="CD456" s="5">
        <v>0.21149999999999999</v>
      </c>
      <c r="CE456" s="5"/>
      <c r="CH456" s="44"/>
    </row>
    <row r="457" spans="1:86" x14ac:dyDescent="0.2">
      <c r="A457" s="3" t="s">
        <v>18</v>
      </c>
      <c r="B457" s="39">
        <v>617</v>
      </c>
      <c r="C457" s="82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AB457" s="5"/>
      <c r="AK457" s="5"/>
      <c r="AR457" s="5"/>
      <c r="AT457" s="5"/>
      <c r="AW457" s="5"/>
      <c r="AY457" s="5"/>
      <c r="BA457" s="5"/>
      <c r="BB457" s="5"/>
      <c r="BF457" s="5"/>
      <c r="BH457" s="5"/>
      <c r="BI457" s="5"/>
      <c r="BJ457" s="5"/>
      <c r="BK457" s="5"/>
      <c r="BL457" s="5"/>
      <c r="BM457" s="5"/>
      <c r="BP457" s="5"/>
      <c r="BQ457" s="5"/>
      <c r="BR457" s="5"/>
      <c r="BS457" s="5"/>
      <c r="BU457" s="5"/>
      <c r="BY457" s="5"/>
      <c r="BZ457" s="5"/>
      <c r="CA457" s="5">
        <v>0.16800000000000001</v>
      </c>
      <c r="CB457" s="5"/>
      <c r="CC457" s="5"/>
      <c r="CD457" s="5">
        <v>0.20399999999999999</v>
      </c>
      <c r="CE457" s="5">
        <v>0.20100000000000001</v>
      </c>
      <c r="CH457" s="44"/>
    </row>
    <row r="458" spans="1:86" x14ac:dyDescent="0.2">
      <c r="A458" s="3" t="s">
        <v>18</v>
      </c>
      <c r="B458" s="39">
        <v>618</v>
      </c>
      <c r="C458" s="82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AB458" s="5"/>
      <c r="AK458" s="5"/>
      <c r="AR458" s="5"/>
      <c r="AT458" s="5"/>
      <c r="AW458" s="5"/>
      <c r="AY458" s="5"/>
      <c r="BA458" s="5"/>
      <c r="BB458" s="5"/>
      <c r="BF458" s="5"/>
      <c r="BH458" s="5"/>
      <c r="BI458" s="5"/>
      <c r="BJ458" s="5"/>
      <c r="BK458" s="5"/>
      <c r="BL458" s="5"/>
      <c r="BM458" s="5"/>
      <c r="BP458" s="5"/>
      <c r="BQ458" s="5"/>
      <c r="BR458" s="5"/>
      <c r="BS458" s="5"/>
      <c r="BU458" s="5"/>
      <c r="BY458" s="5"/>
      <c r="BZ458" s="5"/>
      <c r="CA458" s="5">
        <v>0.94899999999999995</v>
      </c>
      <c r="CB458" s="5"/>
      <c r="CC458" s="5"/>
      <c r="CD458" s="5"/>
      <c r="CE458" s="5">
        <v>0.91800000000000004</v>
      </c>
      <c r="CH458" s="44"/>
    </row>
    <row r="459" spans="1:86" x14ac:dyDescent="0.2">
      <c r="A459" s="3" t="s">
        <v>18</v>
      </c>
      <c r="B459" s="39">
        <v>618</v>
      </c>
      <c r="C459" s="82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AB459" s="5"/>
      <c r="AK459" s="5"/>
      <c r="AR459" s="5"/>
      <c r="AT459" s="5"/>
      <c r="AW459" s="5"/>
      <c r="AY459" s="5"/>
      <c r="BA459" s="5"/>
      <c r="BB459" s="5"/>
      <c r="BF459" s="5"/>
      <c r="BH459" s="5"/>
      <c r="BI459" s="5"/>
      <c r="BJ459" s="5"/>
      <c r="BK459" s="5"/>
      <c r="BL459" s="5"/>
      <c r="BM459" s="5"/>
      <c r="BP459" s="5"/>
      <c r="BQ459" s="5"/>
      <c r="BR459" s="5"/>
      <c r="BS459" s="5"/>
      <c r="BU459" s="5"/>
      <c r="BY459" s="5"/>
      <c r="BZ459" s="5"/>
      <c r="CA459" s="5">
        <v>0.1812</v>
      </c>
      <c r="CB459" s="5"/>
      <c r="CC459" s="5"/>
      <c r="CD459" s="5"/>
      <c r="CE459" s="5">
        <v>0.27600000000000002</v>
      </c>
      <c r="CH459" s="44"/>
    </row>
    <row r="460" spans="1:86" x14ac:dyDescent="0.2">
      <c r="A460" s="3" t="s">
        <v>18</v>
      </c>
      <c r="B460" s="39">
        <v>619</v>
      </c>
      <c r="C460" s="82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AB460" s="5"/>
      <c r="AK460" s="5"/>
      <c r="AR460" s="5"/>
      <c r="AT460" s="5"/>
      <c r="AW460" s="5"/>
      <c r="AY460" s="5"/>
      <c r="BA460" s="5"/>
      <c r="BB460" s="5"/>
      <c r="BF460" s="5"/>
      <c r="BH460" s="5"/>
      <c r="BI460" s="5"/>
      <c r="BJ460" s="5"/>
      <c r="BK460" s="5"/>
      <c r="BL460" s="5"/>
      <c r="BM460" s="5"/>
      <c r="BP460" s="5"/>
      <c r="BQ460" s="5"/>
      <c r="BR460" s="5"/>
      <c r="BS460" s="5"/>
      <c r="BU460" s="5"/>
      <c r="BY460" s="5">
        <v>0.52410000000000001</v>
      </c>
      <c r="BZ460" s="5">
        <v>0.54549999999999998</v>
      </c>
      <c r="CA460" s="5">
        <v>0.57489999999999997</v>
      </c>
      <c r="CB460" s="5">
        <v>0.56620000000000004</v>
      </c>
      <c r="CC460" s="5">
        <v>0.5706</v>
      </c>
      <c r="CD460" s="5">
        <v>0.5857</v>
      </c>
      <c r="CE460" s="5">
        <v>0.58930000000000005</v>
      </c>
      <c r="CH460" s="44"/>
    </row>
    <row r="461" spans="1:86" x14ac:dyDescent="0.2">
      <c r="A461" s="3" t="s">
        <v>18</v>
      </c>
      <c r="B461" s="39">
        <v>619</v>
      </c>
      <c r="C461" s="82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AB461" s="5"/>
      <c r="AK461" s="5"/>
      <c r="AR461" s="5"/>
      <c r="AT461" s="5"/>
      <c r="AW461" s="5"/>
      <c r="AY461" s="5"/>
      <c r="BA461" s="5"/>
      <c r="BB461" s="5"/>
      <c r="BF461" s="5"/>
      <c r="BH461" s="5"/>
      <c r="BI461" s="5"/>
      <c r="BJ461" s="5"/>
      <c r="BK461" s="5"/>
      <c r="BL461" s="5"/>
      <c r="BM461" s="5"/>
      <c r="BP461" s="5"/>
      <c r="BQ461" s="5"/>
      <c r="BR461" s="5"/>
      <c r="BS461" s="5"/>
      <c r="BU461" s="5"/>
      <c r="BY461" s="5">
        <v>0.156</v>
      </c>
      <c r="BZ461" s="5">
        <v>0.15379999999999999</v>
      </c>
      <c r="CA461" s="5">
        <v>0.16800000000000001</v>
      </c>
      <c r="CB461" s="5">
        <v>0.1729</v>
      </c>
      <c r="CC461" s="5">
        <v>0.17230000000000001</v>
      </c>
      <c r="CD461" s="5">
        <v>0.18129999999999999</v>
      </c>
      <c r="CE461" s="5">
        <v>0.1799</v>
      </c>
      <c r="CH461" s="44"/>
    </row>
    <row r="462" spans="1:86" x14ac:dyDescent="0.2">
      <c r="A462" s="3" t="s">
        <v>18</v>
      </c>
      <c r="B462" s="39">
        <v>620</v>
      </c>
      <c r="C462" s="82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AB462" s="5"/>
      <c r="AC462" s="5">
        <v>0.33900000000000002</v>
      </c>
      <c r="AK462" s="5"/>
      <c r="AR462" s="5"/>
      <c r="AT462" s="5"/>
      <c r="AW462" s="5"/>
      <c r="AY462" s="5"/>
      <c r="BA462" s="5"/>
      <c r="BB462" s="5"/>
      <c r="BF462" s="5"/>
      <c r="BH462" s="5"/>
      <c r="BI462" s="5"/>
      <c r="BJ462" s="5"/>
      <c r="BK462" s="5"/>
      <c r="BL462" s="5"/>
      <c r="BM462" s="5"/>
      <c r="BP462" s="5"/>
      <c r="BQ462" s="5"/>
      <c r="BR462" s="5"/>
      <c r="BS462" s="5"/>
      <c r="BY462" s="5"/>
      <c r="BZ462" s="5"/>
      <c r="CA462" s="5"/>
      <c r="CB462" s="5"/>
      <c r="CC462" s="5"/>
      <c r="CD462" s="5">
        <v>0.57099999999999995</v>
      </c>
      <c r="CE462" s="5"/>
      <c r="CH462" s="44"/>
    </row>
    <row r="463" spans="1:86" s="46" customFormat="1" x14ac:dyDescent="0.2">
      <c r="A463" s="38" t="s">
        <v>18</v>
      </c>
      <c r="B463" s="40">
        <v>620</v>
      </c>
      <c r="C463" s="83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AB463" s="48"/>
      <c r="AC463" s="48">
        <v>2.8000000000000001E-2</v>
      </c>
      <c r="AK463" s="48"/>
      <c r="AR463" s="48"/>
      <c r="AT463" s="48"/>
      <c r="AW463" s="48"/>
      <c r="AY463" s="48"/>
      <c r="BA463" s="48"/>
      <c r="BB463" s="48"/>
      <c r="BF463" s="48"/>
      <c r="BH463" s="48"/>
      <c r="BI463" s="48"/>
      <c r="BJ463" s="48"/>
      <c r="BK463" s="48"/>
      <c r="BL463" s="48"/>
      <c r="BM463" s="48"/>
      <c r="BP463" s="48"/>
      <c r="BQ463" s="48"/>
      <c r="BR463" s="48"/>
      <c r="BS463" s="48"/>
      <c r="BY463" s="48"/>
      <c r="BZ463" s="48"/>
      <c r="CA463" s="48"/>
      <c r="CB463" s="48"/>
      <c r="CC463" s="48"/>
      <c r="CD463" s="48">
        <v>8.3000000000000004E-2</v>
      </c>
      <c r="CE463" s="48"/>
      <c r="CH463" s="51"/>
    </row>
    <row r="464" spans="1:86" x14ac:dyDescent="0.2">
      <c r="A464" s="3" t="s">
        <v>19</v>
      </c>
      <c r="B464" s="39">
        <v>621</v>
      </c>
      <c r="C464" s="82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R464" s="1"/>
      <c r="S464" s="1"/>
      <c r="T464" s="1"/>
      <c r="U464" s="1"/>
      <c r="V464" s="1"/>
      <c r="W464" s="5"/>
      <c r="X464" s="1"/>
      <c r="Y464" s="1"/>
      <c r="Z464" s="1"/>
      <c r="AB464" s="5">
        <v>0.18</v>
      </c>
      <c r="AK464" s="5">
        <v>0.22</v>
      </c>
      <c r="AQ464" s="5">
        <v>0.26</v>
      </c>
      <c r="AU464" s="5"/>
      <c r="BB464" s="5"/>
      <c r="BD464" s="5"/>
      <c r="BK464" s="5"/>
      <c r="BP464"/>
      <c r="BR464"/>
      <c r="BS464"/>
      <c r="BU464" s="5"/>
      <c r="CH464" s="44"/>
    </row>
    <row r="465" spans="1:86" x14ac:dyDescent="0.2">
      <c r="A465" s="3" t="s">
        <v>19</v>
      </c>
      <c r="B465" s="39">
        <v>621</v>
      </c>
      <c r="C465" s="82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R465" s="1"/>
      <c r="S465" s="1"/>
      <c r="T465" s="1"/>
      <c r="U465" s="1"/>
      <c r="V465" s="1"/>
      <c r="W465" s="5"/>
      <c r="X465" s="1"/>
      <c r="Y465" s="1"/>
      <c r="Z465" s="1"/>
      <c r="AG465" s="5">
        <v>0.15</v>
      </c>
      <c r="AM465" s="5">
        <v>0.2</v>
      </c>
      <c r="AQ465" s="5">
        <v>0.21</v>
      </c>
      <c r="AU465" s="5"/>
      <c r="BB465" s="5"/>
      <c r="BD465" s="5"/>
      <c r="BG465" s="5"/>
      <c r="BK465" s="5"/>
      <c r="BP465"/>
      <c r="BR465"/>
      <c r="BS465"/>
      <c r="BU465" s="5"/>
      <c r="CH465" s="44"/>
    </row>
    <row r="466" spans="1:86" x14ac:dyDescent="0.2">
      <c r="A466" s="3" t="s">
        <v>19</v>
      </c>
      <c r="B466" s="39">
        <v>622</v>
      </c>
      <c r="C466" s="82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R466" s="1"/>
      <c r="S466" s="1"/>
      <c r="T466" s="1"/>
      <c r="U466" s="1"/>
      <c r="V466" s="1"/>
      <c r="W466" s="5"/>
      <c r="X466" s="1"/>
      <c r="Y466" s="5">
        <v>0.24299999999999999</v>
      </c>
      <c r="Z466" s="1"/>
      <c r="AG466" s="5"/>
      <c r="AK466" s="5">
        <v>0.25</v>
      </c>
      <c r="AM466" s="5"/>
      <c r="AQ466" s="5">
        <v>0.254</v>
      </c>
      <c r="AU466" s="5"/>
      <c r="BB466" s="5">
        <v>0.33300000000000002</v>
      </c>
      <c r="BD466" s="5"/>
      <c r="BG466" s="5"/>
      <c r="BK466" s="5"/>
      <c r="BP466"/>
      <c r="BR466"/>
      <c r="BS466"/>
      <c r="BU466" s="5"/>
      <c r="CH466" s="44"/>
    </row>
    <row r="467" spans="1:86" x14ac:dyDescent="0.2">
      <c r="A467" s="3" t="s">
        <v>19</v>
      </c>
      <c r="B467" s="39">
        <v>623</v>
      </c>
      <c r="C467" s="82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R467" s="1"/>
      <c r="S467" s="1"/>
      <c r="T467" s="1"/>
      <c r="U467" s="1"/>
      <c r="V467" s="1"/>
      <c r="W467" s="5"/>
      <c r="X467" s="1"/>
      <c r="Y467" s="5"/>
      <c r="Z467" s="1"/>
      <c r="AG467" s="5"/>
      <c r="AK467" s="5"/>
      <c r="AM467" s="5"/>
      <c r="AQ467" s="5">
        <v>0.06</v>
      </c>
      <c r="AU467" s="5"/>
      <c r="AX467" s="5">
        <v>7.0000000000000007E-2</v>
      </c>
      <c r="BB467" s="5">
        <v>0.13</v>
      </c>
      <c r="BD467" s="5"/>
      <c r="BE467" s="5">
        <v>0.15</v>
      </c>
      <c r="BG467" s="5"/>
      <c r="BK467" s="5"/>
      <c r="BP467"/>
      <c r="BR467"/>
      <c r="BS467"/>
      <c r="BU467" s="5"/>
      <c r="CH467" s="44"/>
    </row>
    <row r="468" spans="1:86" x14ac:dyDescent="0.2">
      <c r="A468" s="3" t="s">
        <v>19</v>
      </c>
      <c r="B468" s="39">
        <v>623</v>
      </c>
      <c r="C468" s="82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R468" s="1"/>
      <c r="S468" s="1"/>
      <c r="T468" s="1"/>
      <c r="U468" s="1"/>
      <c r="V468" s="1"/>
      <c r="W468" s="5"/>
      <c r="X468" s="1"/>
      <c r="Y468" s="5"/>
      <c r="Z468" s="1"/>
      <c r="AG468" s="5"/>
      <c r="AK468" s="5"/>
      <c r="AM468" s="5"/>
      <c r="AQ468" s="5">
        <v>0.08</v>
      </c>
      <c r="AU468" s="5"/>
      <c r="AX468" s="5">
        <v>0.12</v>
      </c>
      <c r="BB468" s="5">
        <v>0.15</v>
      </c>
      <c r="BD468" s="5"/>
      <c r="BE468" s="5">
        <v>0.16</v>
      </c>
      <c r="BG468" s="5"/>
      <c r="BK468" s="5"/>
      <c r="BP468"/>
      <c r="BR468"/>
      <c r="BS468"/>
      <c r="BU468" s="5"/>
      <c r="CH468" s="44"/>
    </row>
    <row r="469" spans="1:86" x14ac:dyDescent="0.2">
      <c r="A469" s="3" t="s">
        <v>19</v>
      </c>
      <c r="B469" s="39">
        <v>623</v>
      </c>
      <c r="C469" s="82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R469" s="1"/>
      <c r="S469" s="1"/>
      <c r="T469" s="1"/>
      <c r="U469" s="1"/>
      <c r="V469" s="1"/>
      <c r="W469" s="5"/>
      <c r="X469" s="1"/>
      <c r="Y469" s="5"/>
      <c r="Z469" s="1"/>
      <c r="AG469" s="5"/>
      <c r="AK469" s="5"/>
      <c r="AM469" s="5"/>
      <c r="AQ469" s="5"/>
      <c r="AR469" s="5">
        <v>4.9000000000000002E-2</v>
      </c>
      <c r="AU469" s="5"/>
      <c r="AX469" s="5"/>
      <c r="AZ469" s="5">
        <v>5.2999999999999999E-2</v>
      </c>
      <c r="BB469" s="5"/>
      <c r="BD469" s="5"/>
      <c r="BE469" s="5"/>
      <c r="BG469" s="5"/>
      <c r="BK469" s="5"/>
      <c r="BP469"/>
      <c r="BR469"/>
      <c r="BS469"/>
      <c r="BU469" s="5"/>
      <c r="CH469" s="44"/>
    </row>
    <row r="470" spans="1:86" x14ac:dyDescent="0.2">
      <c r="A470" s="3" t="s">
        <v>19</v>
      </c>
      <c r="B470" s="39">
        <v>623</v>
      </c>
      <c r="C470" s="82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R470" s="1"/>
      <c r="S470" s="1"/>
      <c r="T470" s="1"/>
      <c r="U470" s="1"/>
      <c r="V470" s="1"/>
      <c r="W470" s="5"/>
      <c r="X470" s="1"/>
      <c r="Y470" s="5"/>
      <c r="Z470" s="1"/>
      <c r="AG470" s="5"/>
      <c r="AK470" s="5"/>
      <c r="AM470" s="5"/>
      <c r="AQ470" s="5"/>
      <c r="AR470" s="5">
        <v>8.6999999999999994E-2</v>
      </c>
      <c r="AU470" s="5"/>
      <c r="AX470" s="5"/>
      <c r="AZ470" s="5">
        <v>9.0999999999999998E-2</v>
      </c>
      <c r="BB470" s="5"/>
      <c r="BD470" s="5"/>
      <c r="BE470" s="5"/>
      <c r="BG470" s="5"/>
      <c r="BK470" s="5"/>
      <c r="BP470"/>
      <c r="BR470"/>
      <c r="BS470"/>
      <c r="BU470" s="5"/>
      <c r="CH470" s="44"/>
    </row>
    <row r="471" spans="1:86" x14ac:dyDescent="0.2">
      <c r="A471" s="3" t="s">
        <v>19</v>
      </c>
      <c r="B471" s="39">
        <v>623</v>
      </c>
      <c r="C471" s="82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R471" s="1"/>
      <c r="S471" s="1"/>
      <c r="T471" s="1"/>
      <c r="U471" s="1"/>
      <c r="V471" s="1"/>
      <c r="W471" s="5"/>
      <c r="X471" s="1"/>
      <c r="Y471" s="5"/>
      <c r="Z471" s="1"/>
      <c r="AG471" s="5"/>
      <c r="AK471" s="5"/>
      <c r="AM471" s="5"/>
      <c r="AP471" s="5">
        <v>0.1</v>
      </c>
      <c r="AQ471" s="5"/>
      <c r="AR471" s="5"/>
      <c r="AU471" s="5"/>
      <c r="AX471" s="5">
        <v>0.12</v>
      </c>
      <c r="AZ471" s="5"/>
      <c r="BB471" s="5"/>
      <c r="BD471" s="5">
        <v>0.14000000000000001</v>
      </c>
      <c r="BE471" s="5"/>
      <c r="BG471" s="5"/>
      <c r="BK471" s="5"/>
      <c r="BP471"/>
      <c r="BR471"/>
      <c r="BS471"/>
      <c r="BU471" s="5"/>
      <c r="CH471" s="44"/>
    </row>
    <row r="472" spans="1:86" x14ac:dyDescent="0.2">
      <c r="A472" s="3" t="s">
        <v>19</v>
      </c>
      <c r="B472" s="39">
        <v>623</v>
      </c>
      <c r="C472" s="82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R472" s="1"/>
      <c r="S472" s="1"/>
      <c r="T472" s="1"/>
      <c r="U472" s="1"/>
      <c r="V472" s="1"/>
      <c r="W472" s="5"/>
      <c r="X472" s="1"/>
      <c r="Y472" s="5"/>
      <c r="Z472" s="1"/>
      <c r="AG472" s="5"/>
      <c r="AK472" s="5"/>
      <c r="AM472" s="5"/>
      <c r="AP472" s="5">
        <v>0.1</v>
      </c>
      <c r="AQ472" s="5"/>
      <c r="AR472" s="5"/>
      <c r="AU472" s="5"/>
      <c r="AX472" s="5">
        <v>0.1</v>
      </c>
      <c r="AZ472" s="5"/>
      <c r="BB472" s="5"/>
      <c r="BD472" s="5">
        <v>0.11</v>
      </c>
      <c r="BE472" s="5"/>
      <c r="BG472" s="5"/>
      <c r="BK472" s="5"/>
      <c r="BP472"/>
      <c r="BR472"/>
      <c r="BS472"/>
      <c r="BU472" s="5"/>
      <c r="CH472" s="44"/>
    </row>
    <row r="473" spans="1:86" x14ac:dyDescent="0.2">
      <c r="A473" s="3" t="s">
        <v>19</v>
      </c>
      <c r="B473" s="39">
        <v>623</v>
      </c>
      <c r="C473" s="82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R473" s="1"/>
      <c r="S473" s="1"/>
      <c r="T473" s="1"/>
      <c r="U473" s="1"/>
      <c r="V473" s="1"/>
      <c r="W473" s="5"/>
      <c r="X473" s="1"/>
      <c r="Y473" s="5"/>
      <c r="Z473" s="1"/>
      <c r="AG473" s="5"/>
      <c r="AK473" s="5"/>
      <c r="AM473" s="5"/>
      <c r="AP473" s="5"/>
      <c r="AQ473" s="5"/>
      <c r="AR473" s="5"/>
      <c r="AU473" s="5"/>
      <c r="AV473" s="5">
        <v>0.14099999999999999</v>
      </c>
      <c r="AX473" s="5"/>
      <c r="AY473" s="5">
        <v>0.14699999999999999</v>
      </c>
      <c r="AZ473" s="5"/>
      <c r="BA473" s="5">
        <v>0.17199999999999999</v>
      </c>
      <c r="BB473" s="5"/>
      <c r="BD473" s="5"/>
      <c r="BE473" s="5"/>
      <c r="BG473" s="5"/>
      <c r="BK473" s="5"/>
      <c r="BP473"/>
      <c r="BR473"/>
      <c r="BS473"/>
      <c r="BU473" s="5"/>
      <c r="CH473" s="44"/>
    </row>
    <row r="474" spans="1:86" x14ac:dyDescent="0.2">
      <c r="A474" s="3" t="s">
        <v>19</v>
      </c>
      <c r="B474" s="39">
        <v>623</v>
      </c>
      <c r="C474" s="82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R474" s="1"/>
      <c r="S474" s="1"/>
      <c r="T474" s="1"/>
      <c r="U474" s="1"/>
      <c r="V474" s="1"/>
      <c r="W474" s="5"/>
      <c r="X474" s="1"/>
      <c r="Y474" s="5"/>
      <c r="Z474" s="1"/>
      <c r="AG474" s="5"/>
      <c r="AK474" s="5"/>
      <c r="AM474" s="5"/>
      <c r="AP474" s="5"/>
      <c r="AQ474" s="5"/>
      <c r="AR474" s="5"/>
      <c r="AU474" s="5"/>
      <c r="AV474" s="5">
        <v>0.16500000000000001</v>
      </c>
      <c r="AX474" s="5"/>
      <c r="AY474" s="5">
        <v>0.17199999999999999</v>
      </c>
      <c r="AZ474" s="5"/>
      <c r="BA474" s="5">
        <v>0.193</v>
      </c>
      <c r="BB474" s="5"/>
      <c r="BD474" s="5"/>
      <c r="BE474" s="5"/>
      <c r="BG474" s="5"/>
      <c r="BK474" s="5"/>
      <c r="BP474"/>
      <c r="BR474"/>
      <c r="BS474"/>
      <c r="BU474" s="5"/>
      <c r="CH474" s="44"/>
    </row>
    <row r="475" spans="1:86" x14ac:dyDescent="0.2">
      <c r="A475" s="3" t="s">
        <v>19</v>
      </c>
      <c r="B475" s="39">
        <v>623</v>
      </c>
      <c r="C475" s="82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R475" s="1"/>
      <c r="S475" s="1"/>
      <c r="T475" s="1"/>
      <c r="U475" s="1"/>
      <c r="V475" s="1"/>
      <c r="W475" s="5"/>
      <c r="X475" s="1"/>
      <c r="Y475" s="5"/>
      <c r="Z475" s="1"/>
      <c r="AG475" s="5"/>
      <c r="AK475" s="5"/>
      <c r="AM475" s="5"/>
      <c r="AP475" s="5"/>
      <c r="AQ475" s="5"/>
      <c r="AR475" s="5"/>
      <c r="AU475" s="5"/>
      <c r="AV475" s="5">
        <v>0.13700000000000001</v>
      </c>
      <c r="AX475" s="5"/>
      <c r="AY475" s="5"/>
      <c r="AZ475" s="5">
        <v>0.13400000000000001</v>
      </c>
      <c r="BA475" s="5"/>
      <c r="BB475" s="5"/>
      <c r="BC475" s="5">
        <v>0.20499999999999999</v>
      </c>
      <c r="BD475" s="5"/>
      <c r="BE475" s="5"/>
      <c r="BG475" s="5"/>
      <c r="BK475" s="5"/>
      <c r="BP475"/>
      <c r="BR475"/>
      <c r="BS475"/>
      <c r="BU475" s="5"/>
      <c r="CH475" s="44"/>
    </row>
    <row r="476" spans="1:86" x14ac:dyDescent="0.2">
      <c r="A476" s="3" t="s">
        <v>19</v>
      </c>
      <c r="B476" s="39">
        <v>623</v>
      </c>
      <c r="C476" s="82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R476" s="1"/>
      <c r="S476" s="1"/>
      <c r="T476" s="1"/>
      <c r="U476" s="1"/>
      <c r="V476" s="1"/>
      <c r="W476" s="5"/>
      <c r="X476" s="1"/>
      <c r="Y476" s="5"/>
      <c r="Z476" s="1"/>
      <c r="AG476" s="5"/>
      <c r="AK476" s="5"/>
      <c r="AM476" s="5"/>
      <c r="AP476" s="5"/>
      <c r="AQ476" s="5"/>
      <c r="AR476" s="5"/>
      <c r="AU476" s="5"/>
      <c r="AV476" s="5">
        <v>0.222</v>
      </c>
      <c r="AX476" s="5"/>
      <c r="AY476" s="5"/>
      <c r="AZ476" s="5">
        <v>0.20599999999999999</v>
      </c>
      <c r="BA476" s="5"/>
      <c r="BB476" s="5"/>
      <c r="BC476" s="5">
        <v>0.26800000000000002</v>
      </c>
      <c r="BD476" s="5"/>
      <c r="BE476" s="5"/>
      <c r="BG476" s="5"/>
      <c r="BK476" s="5"/>
      <c r="BP476"/>
      <c r="BR476"/>
      <c r="BS476"/>
      <c r="BU476" s="5"/>
      <c r="CH476" s="44"/>
    </row>
    <row r="477" spans="1:86" x14ac:dyDescent="0.2">
      <c r="A477" s="3" t="s">
        <v>19</v>
      </c>
      <c r="B477" s="39">
        <v>623</v>
      </c>
      <c r="C477" s="82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R477" s="1"/>
      <c r="S477" s="1"/>
      <c r="T477" s="1"/>
      <c r="U477" s="1"/>
      <c r="V477" s="1"/>
      <c r="W477" s="5"/>
      <c r="X477" s="1"/>
      <c r="Y477" s="5"/>
      <c r="Z477" s="1"/>
      <c r="AG477" s="5"/>
      <c r="AK477" s="5"/>
      <c r="AM477" s="5"/>
      <c r="AP477" s="5"/>
      <c r="AQ477" s="5"/>
      <c r="AR477" s="5"/>
      <c r="AU477" s="5"/>
      <c r="AV477" s="5"/>
      <c r="AW477" s="5">
        <v>0.14699999999999999</v>
      </c>
      <c r="AX477" s="5"/>
      <c r="AY477" s="5">
        <v>0.13700000000000001</v>
      </c>
      <c r="AZ477" s="5"/>
      <c r="BA477" s="5"/>
      <c r="BB477" s="5">
        <v>0.16</v>
      </c>
      <c r="BC477" s="5"/>
      <c r="BD477" s="5"/>
      <c r="BE477" s="5"/>
      <c r="BG477" s="5"/>
      <c r="BK477" s="5"/>
      <c r="BP477"/>
      <c r="BR477"/>
      <c r="BS477"/>
      <c r="BU477" s="5"/>
      <c r="CH477" s="44"/>
    </row>
    <row r="478" spans="1:86" x14ac:dyDescent="0.2">
      <c r="A478" s="3" t="s">
        <v>19</v>
      </c>
      <c r="B478" s="39">
        <v>623</v>
      </c>
      <c r="C478" s="82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R478" s="1"/>
      <c r="S478" s="1"/>
      <c r="T478" s="1"/>
      <c r="U478" s="1"/>
      <c r="V478" s="1"/>
      <c r="W478" s="5"/>
      <c r="X478" s="1"/>
      <c r="Y478" s="5"/>
      <c r="Z478" s="1"/>
      <c r="AG478" s="5"/>
      <c r="AK478" s="5"/>
      <c r="AM478" s="5"/>
      <c r="AP478" s="5"/>
      <c r="AQ478" s="5"/>
      <c r="AR478" s="5"/>
      <c r="AU478" s="5"/>
      <c r="AV478" s="5"/>
      <c r="AW478" s="5">
        <v>0.152</v>
      </c>
      <c r="AX478" s="5"/>
      <c r="AY478" s="5">
        <v>0.15</v>
      </c>
      <c r="AZ478" s="5"/>
      <c r="BA478" s="5"/>
      <c r="BB478" s="5">
        <v>0.214</v>
      </c>
      <c r="BC478" s="5"/>
      <c r="BD478" s="5"/>
      <c r="BE478" s="5"/>
      <c r="BG478" s="5"/>
      <c r="BK478" s="5"/>
      <c r="BP478"/>
      <c r="BR478"/>
      <c r="BS478"/>
      <c r="BU478" s="5"/>
      <c r="CH478" s="44"/>
    </row>
    <row r="479" spans="1:86" x14ac:dyDescent="0.2">
      <c r="A479" s="3" t="s">
        <v>19</v>
      </c>
      <c r="B479" s="39">
        <v>623</v>
      </c>
      <c r="C479" s="82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R479" s="1"/>
      <c r="S479" s="1"/>
      <c r="T479" s="1"/>
      <c r="U479" s="1"/>
      <c r="V479" s="1"/>
      <c r="W479" s="5"/>
      <c r="X479" s="1"/>
      <c r="Y479" s="5"/>
      <c r="Z479" s="1"/>
      <c r="AG479" s="5"/>
      <c r="AK479" s="5"/>
      <c r="AM479" s="5"/>
      <c r="AP479" s="5"/>
      <c r="AQ479" s="5"/>
      <c r="AR479" s="5"/>
      <c r="AU479" s="5"/>
      <c r="AV479" s="5"/>
      <c r="AW479" s="5"/>
      <c r="AX479" s="5">
        <v>7.0000000000000007E-2</v>
      </c>
      <c r="AY479" s="5"/>
      <c r="AZ479" s="5"/>
      <c r="BA479" s="5"/>
      <c r="BB479" s="5">
        <v>8.8999999999999996E-2</v>
      </c>
      <c r="BC479" s="5"/>
      <c r="BD479" s="5"/>
      <c r="BE479" s="5"/>
      <c r="BG479" s="5"/>
      <c r="BK479" s="5"/>
      <c r="BP479"/>
      <c r="BR479"/>
      <c r="BS479"/>
      <c r="BU479" s="5"/>
      <c r="CH479" s="44"/>
    </row>
    <row r="480" spans="1:86" x14ac:dyDescent="0.2">
      <c r="A480" s="3" t="s">
        <v>19</v>
      </c>
      <c r="B480" s="39">
        <v>623</v>
      </c>
      <c r="C480" s="82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R480" s="1"/>
      <c r="S480" s="1"/>
      <c r="T480" s="1"/>
      <c r="U480" s="1"/>
      <c r="V480" s="1"/>
      <c r="W480" s="5"/>
      <c r="X480" s="1"/>
      <c r="Y480" s="5"/>
      <c r="Z480" s="1"/>
      <c r="AG480" s="5"/>
      <c r="AK480" s="5"/>
      <c r="AM480" s="5"/>
      <c r="AP480" s="5"/>
      <c r="AQ480" s="5"/>
      <c r="AR480" s="5"/>
      <c r="AU480" s="5"/>
      <c r="AV480" s="5"/>
      <c r="AW480" s="5"/>
      <c r="AX480" s="5">
        <v>7.4999999999999997E-2</v>
      </c>
      <c r="AY480" s="5"/>
      <c r="AZ480" s="5"/>
      <c r="BA480" s="5"/>
      <c r="BB480" s="5">
        <v>8.5999999999999993E-2</v>
      </c>
      <c r="BC480" s="5"/>
      <c r="BD480" s="5"/>
      <c r="BE480" s="5"/>
      <c r="BG480" s="5"/>
      <c r="BK480" s="5"/>
      <c r="BP480"/>
      <c r="BR480"/>
      <c r="BS480"/>
      <c r="BU480" s="5"/>
      <c r="CH480" s="44"/>
    </row>
    <row r="481" spans="1:86" x14ac:dyDescent="0.2">
      <c r="A481" s="3" t="s">
        <v>19</v>
      </c>
      <c r="B481" s="39">
        <v>624</v>
      </c>
      <c r="C481" s="82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R481" s="1"/>
      <c r="S481" s="1"/>
      <c r="T481" s="1"/>
      <c r="U481" s="1"/>
      <c r="V481" s="1"/>
      <c r="W481" s="5"/>
      <c r="X481" s="1"/>
      <c r="Y481" s="5">
        <v>0.128</v>
      </c>
      <c r="Z481" s="1"/>
      <c r="AG481" s="5"/>
      <c r="AK481" s="5">
        <v>0.14099999999999999</v>
      </c>
      <c r="AM481" s="5"/>
      <c r="AP481" s="5"/>
      <c r="AQ481" s="5">
        <v>0.14499999999999999</v>
      </c>
      <c r="AR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>
        <v>0.22500000000000001</v>
      </c>
      <c r="BG481" s="5"/>
      <c r="BK481" s="5"/>
      <c r="BP481"/>
      <c r="BR481"/>
      <c r="BS481"/>
      <c r="BU481" s="5"/>
      <c r="CH481" s="44"/>
    </row>
    <row r="482" spans="1:86" x14ac:dyDescent="0.2">
      <c r="A482" s="3" t="s">
        <v>19</v>
      </c>
      <c r="B482" s="39">
        <v>625</v>
      </c>
      <c r="C482" s="82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R482" s="1"/>
      <c r="S482" s="1"/>
      <c r="T482" s="1"/>
      <c r="U482" s="1"/>
      <c r="V482" s="1"/>
      <c r="W482" s="5"/>
      <c r="X482" s="1"/>
      <c r="Y482" s="5"/>
      <c r="Z482" s="1"/>
      <c r="AG482" s="5"/>
      <c r="AK482" s="5"/>
      <c r="AM482" s="5"/>
      <c r="AP482" s="5"/>
      <c r="AQ482" s="5"/>
      <c r="AR482" s="5"/>
      <c r="AU482" s="5"/>
      <c r="AV482" s="5"/>
      <c r="AW482" s="5"/>
      <c r="AX482" s="5"/>
      <c r="AY482" s="5"/>
      <c r="AZ482" s="5"/>
      <c r="BA482" s="5"/>
      <c r="BB482" s="5">
        <v>0.12</v>
      </c>
      <c r="BC482" s="5"/>
      <c r="BD482" s="5"/>
      <c r="BE482" s="5"/>
      <c r="BG482" s="5"/>
      <c r="BI482" s="5">
        <v>0.17899999999999999</v>
      </c>
      <c r="BK482" s="5"/>
      <c r="BP482"/>
      <c r="BR482"/>
      <c r="BS482"/>
      <c r="BU482" s="5"/>
      <c r="CH482" s="44"/>
    </row>
    <row r="483" spans="1:86" x14ac:dyDescent="0.2">
      <c r="A483" s="3" t="s">
        <v>19</v>
      </c>
      <c r="B483" s="39">
        <v>626</v>
      </c>
      <c r="C483" s="82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R483" s="1"/>
      <c r="S483" s="1"/>
      <c r="T483" s="1"/>
      <c r="U483" s="1"/>
      <c r="V483" s="1"/>
      <c r="W483" s="5"/>
      <c r="X483" s="1"/>
      <c r="Y483" s="5"/>
      <c r="Z483" s="1"/>
      <c r="AG483" s="5"/>
      <c r="AK483" s="5"/>
      <c r="AM483" s="5"/>
      <c r="AP483" s="5"/>
      <c r="AQ483" s="5"/>
      <c r="AR483" s="5"/>
      <c r="AU483" s="5"/>
      <c r="AV483" s="5"/>
      <c r="AW483" s="5"/>
      <c r="AX483" s="5"/>
      <c r="AY483" s="5"/>
      <c r="AZ483" s="5"/>
      <c r="BA483" s="5"/>
      <c r="BB483" s="5">
        <v>7.2999999999999995E-2</v>
      </c>
      <c r="BC483" s="5"/>
      <c r="BD483" s="5"/>
      <c r="BE483" s="5"/>
      <c r="BG483" s="5">
        <v>0.121</v>
      </c>
      <c r="BI483" s="5"/>
      <c r="BK483" s="5"/>
      <c r="BP483"/>
      <c r="BR483"/>
      <c r="BS483"/>
      <c r="BU483" s="5"/>
      <c r="CH483" s="44"/>
    </row>
    <row r="484" spans="1:86" x14ac:dyDescent="0.2">
      <c r="A484" s="3" t="s">
        <v>19</v>
      </c>
      <c r="B484" s="39">
        <v>626</v>
      </c>
      <c r="C484" s="82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R484" s="1"/>
      <c r="S484" s="1"/>
      <c r="T484" s="1"/>
      <c r="U484" s="1"/>
      <c r="V484" s="1"/>
      <c r="W484" s="5"/>
      <c r="X484" s="1"/>
      <c r="Y484" s="5"/>
      <c r="Z484" s="1"/>
      <c r="AG484" s="5"/>
      <c r="AK484" s="5"/>
      <c r="AM484" s="5"/>
      <c r="AP484" s="5"/>
      <c r="AQ484" s="5"/>
      <c r="AR484" s="5"/>
      <c r="AU484" s="5"/>
      <c r="AV484" s="5"/>
      <c r="AW484" s="5"/>
      <c r="AX484" s="5"/>
      <c r="AY484" s="5"/>
      <c r="AZ484" s="5"/>
      <c r="BA484" s="5"/>
      <c r="BB484" s="5"/>
      <c r="BC484" s="5">
        <v>8.7999999999999995E-2</v>
      </c>
      <c r="BD484" s="5"/>
      <c r="BE484" s="5"/>
      <c r="BG484" s="5">
        <v>9.4E-2</v>
      </c>
      <c r="BI484" s="5"/>
      <c r="BK484" s="5"/>
      <c r="BP484"/>
      <c r="BR484"/>
      <c r="BS484"/>
      <c r="BU484" s="5"/>
      <c r="CH484" s="44"/>
    </row>
    <row r="485" spans="1:86" x14ac:dyDescent="0.2">
      <c r="A485" s="3" t="s">
        <v>19</v>
      </c>
      <c r="B485" s="39">
        <v>627</v>
      </c>
      <c r="C485" s="82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R485" s="1"/>
      <c r="S485" s="1"/>
      <c r="T485" s="1"/>
      <c r="U485" s="1"/>
      <c r="V485" s="1"/>
      <c r="W485" s="5"/>
      <c r="X485" s="1"/>
      <c r="Y485" s="5"/>
      <c r="Z485" s="1"/>
      <c r="AG485" s="5"/>
      <c r="AK485" s="5">
        <v>6.4000000000000001E-2</v>
      </c>
      <c r="AM485" s="5"/>
      <c r="AP485" s="5"/>
      <c r="AQ485" s="5"/>
      <c r="AR485" s="5"/>
      <c r="AU485" s="5">
        <v>5.3999999999999999E-2</v>
      </c>
      <c r="AV485" s="5"/>
      <c r="AW485" s="5"/>
      <c r="AX485" s="5"/>
      <c r="AY485" s="5"/>
      <c r="AZ485" s="5"/>
      <c r="BA485" s="5"/>
      <c r="BB485" s="5"/>
      <c r="BC485" s="5"/>
      <c r="BD485" s="5"/>
      <c r="BE485" s="5">
        <v>0.09</v>
      </c>
      <c r="BG485" s="5"/>
      <c r="BI485" s="5"/>
      <c r="BK485" s="5"/>
      <c r="BP485"/>
      <c r="BR485"/>
      <c r="BS485"/>
      <c r="BU485" s="5"/>
      <c r="CH485" s="44"/>
    </row>
    <row r="486" spans="1:86" x14ac:dyDescent="0.2">
      <c r="A486" s="3" t="s">
        <v>19</v>
      </c>
      <c r="B486" s="39">
        <v>627</v>
      </c>
      <c r="C486" s="82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R486" s="1"/>
      <c r="S486" s="1"/>
      <c r="T486" s="1"/>
      <c r="U486" s="1"/>
      <c r="V486" s="1"/>
      <c r="W486" s="5"/>
      <c r="X486" s="1"/>
      <c r="Y486" s="5"/>
      <c r="Z486" s="1"/>
      <c r="AG486" s="5"/>
      <c r="AK486" s="5">
        <v>9.0999999999999998E-2</v>
      </c>
      <c r="AM486" s="5"/>
      <c r="AP486" s="5"/>
      <c r="AQ486" s="5"/>
      <c r="AR486" s="5"/>
      <c r="AU486" s="5">
        <v>9.2999999999999999E-2</v>
      </c>
      <c r="AV486" s="5"/>
      <c r="AW486" s="5"/>
      <c r="AX486" s="5"/>
      <c r="AY486" s="5"/>
      <c r="AZ486" s="5"/>
      <c r="BA486" s="5"/>
      <c r="BB486" s="5"/>
      <c r="BC486" s="5"/>
      <c r="BD486" s="5"/>
      <c r="BE486" s="5">
        <v>0.13500000000000001</v>
      </c>
      <c r="BG486" s="5"/>
      <c r="BI486" s="5"/>
      <c r="BK486" s="5"/>
      <c r="BP486"/>
      <c r="BR486"/>
      <c r="BS486"/>
      <c r="BU486" s="5"/>
      <c r="CH486" s="44"/>
    </row>
    <row r="487" spans="1:86" x14ac:dyDescent="0.2">
      <c r="A487" s="3" t="s">
        <v>19</v>
      </c>
      <c r="B487" s="39">
        <v>627</v>
      </c>
      <c r="C487" s="82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R487" s="1"/>
      <c r="S487" s="1"/>
      <c r="T487" s="1"/>
      <c r="U487" s="1"/>
      <c r="V487" s="1"/>
      <c r="W487" s="5"/>
      <c r="X487" s="1"/>
      <c r="Y487" s="5"/>
      <c r="Z487" s="1"/>
      <c r="AG487" s="5"/>
      <c r="AK487" s="5">
        <v>5.3999999999999999E-2</v>
      </c>
      <c r="AM487" s="5"/>
      <c r="AP487" s="5"/>
      <c r="AQ487" s="5"/>
      <c r="AR487" s="5"/>
      <c r="AU487" s="5">
        <v>6.4000000000000001E-2</v>
      </c>
      <c r="AV487" s="5"/>
      <c r="AW487" s="5"/>
      <c r="AX487" s="5"/>
      <c r="AY487" s="5"/>
      <c r="AZ487" s="5"/>
      <c r="BA487" s="5"/>
      <c r="BB487" s="5"/>
      <c r="BC487" s="5"/>
      <c r="BD487" s="5"/>
      <c r="BE487" s="5">
        <v>0.1</v>
      </c>
      <c r="BG487" s="5"/>
      <c r="BI487" s="5"/>
      <c r="BK487" s="5"/>
      <c r="BP487"/>
      <c r="BR487"/>
      <c r="BS487"/>
      <c r="BU487" s="5"/>
      <c r="CH487" s="44"/>
    </row>
    <row r="488" spans="1:86" x14ac:dyDescent="0.2">
      <c r="A488" s="3" t="s">
        <v>19</v>
      </c>
      <c r="B488" s="39">
        <v>627</v>
      </c>
      <c r="C488" s="82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R488" s="1"/>
      <c r="S488" s="1"/>
      <c r="T488" s="1"/>
      <c r="U488" s="1"/>
      <c r="V488" s="1"/>
      <c r="W488" s="5"/>
      <c r="X488" s="1"/>
      <c r="Y488" s="5"/>
      <c r="Z488" s="1"/>
      <c r="AG488" s="5"/>
      <c r="AK488" s="5">
        <v>8.7999999999999995E-2</v>
      </c>
      <c r="AM488" s="5"/>
      <c r="AP488" s="5"/>
      <c r="AQ488" s="5"/>
      <c r="AR488" s="5"/>
      <c r="AU488" s="5">
        <v>0.104</v>
      </c>
      <c r="AV488" s="5"/>
      <c r="AW488" s="5"/>
      <c r="AX488" s="5"/>
      <c r="AY488" s="5"/>
      <c r="AZ488" s="5"/>
      <c r="BA488" s="5"/>
      <c r="BB488" s="5"/>
      <c r="BC488" s="5"/>
      <c r="BD488" s="5"/>
      <c r="BE488" s="5">
        <v>0.158</v>
      </c>
      <c r="BG488" s="5"/>
      <c r="BI488" s="5"/>
      <c r="BK488" s="5"/>
      <c r="BP488"/>
      <c r="BR488"/>
      <c r="BS488"/>
      <c r="BU488" s="5"/>
      <c r="CH488" s="44"/>
    </row>
    <row r="489" spans="1:86" x14ac:dyDescent="0.2">
      <c r="A489" s="3" t="s">
        <v>19</v>
      </c>
      <c r="B489" s="39">
        <v>628</v>
      </c>
      <c r="C489" s="82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R489" s="1"/>
      <c r="S489" s="1"/>
      <c r="T489" s="1"/>
      <c r="U489" s="1"/>
      <c r="V489" s="1"/>
      <c r="W489" s="5"/>
      <c r="X489" s="1"/>
      <c r="Y489" s="5"/>
      <c r="Z489" s="1"/>
      <c r="AG489" s="5"/>
      <c r="AK489" s="5"/>
      <c r="AM489" s="5"/>
      <c r="AP489" s="5"/>
      <c r="AQ489" s="5"/>
      <c r="AR489" s="5">
        <v>0.09</v>
      </c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G489" s="5">
        <v>0.14000000000000001</v>
      </c>
      <c r="BI489" s="5"/>
      <c r="BK489" s="5"/>
      <c r="BP489"/>
      <c r="BR489"/>
      <c r="BS489"/>
      <c r="BU489" s="5"/>
      <c r="CH489" s="44"/>
    </row>
    <row r="490" spans="1:86" x14ac:dyDescent="0.2">
      <c r="A490" s="3" t="s">
        <v>19</v>
      </c>
      <c r="B490" s="39">
        <v>628</v>
      </c>
      <c r="C490" s="82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R490" s="1"/>
      <c r="S490" s="1"/>
      <c r="T490" s="1"/>
      <c r="U490" s="1"/>
      <c r="V490" s="1"/>
      <c r="W490" s="5"/>
      <c r="X490" s="1"/>
      <c r="Y490" s="5"/>
      <c r="Z490" s="1"/>
      <c r="AG490" s="5"/>
      <c r="AK490" s="5"/>
      <c r="AM490" s="5"/>
      <c r="AP490" s="5"/>
      <c r="AQ490" s="5"/>
      <c r="AR490" s="5">
        <v>0.08</v>
      </c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G490" s="5">
        <v>0.12</v>
      </c>
      <c r="BI490" s="5"/>
      <c r="BK490" s="5"/>
      <c r="BP490"/>
      <c r="BR490"/>
      <c r="BS490"/>
      <c r="BU490" s="5"/>
      <c r="CH490" s="44"/>
    </row>
    <row r="491" spans="1:86" x14ac:dyDescent="0.2">
      <c r="A491" s="3" t="s">
        <v>19</v>
      </c>
      <c r="B491" s="39">
        <v>629</v>
      </c>
      <c r="C491" s="82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R491" s="1"/>
      <c r="S491" s="1"/>
      <c r="T491" s="1"/>
      <c r="U491" s="1"/>
      <c r="V491" s="1"/>
      <c r="W491" s="5"/>
      <c r="X491" s="1"/>
      <c r="Y491" s="5"/>
      <c r="Z491" s="1"/>
      <c r="AG491" s="5"/>
      <c r="AK491" s="5"/>
      <c r="AM491" s="5"/>
      <c r="AP491" s="5"/>
      <c r="AQ491" s="5"/>
      <c r="AR491" s="5"/>
      <c r="AU491" s="5"/>
      <c r="AV491" s="5"/>
      <c r="AW491" s="5"/>
      <c r="AX491" s="5">
        <v>8.2000000000000003E-2</v>
      </c>
      <c r="AY491" s="5"/>
      <c r="AZ491" s="5"/>
      <c r="BA491" s="5"/>
      <c r="BB491" s="5"/>
      <c r="BC491" s="5"/>
      <c r="BD491" s="5"/>
      <c r="BE491" s="5"/>
      <c r="BG491" s="5"/>
      <c r="BH491" s="5">
        <v>0.122</v>
      </c>
      <c r="BI491" s="5"/>
      <c r="BK491" s="5"/>
      <c r="BP491"/>
      <c r="BR491"/>
      <c r="BS491"/>
      <c r="BU491" s="5"/>
      <c r="CH491" s="44"/>
    </row>
    <row r="492" spans="1:86" x14ac:dyDescent="0.2">
      <c r="A492" s="3" t="s">
        <v>19</v>
      </c>
      <c r="B492" s="39">
        <v>630</v>
      </c>
      <c r="C492" s="82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R492" s="1"/>
      <c r="S492" s="1"/>
      <c r="T492" s="1"/>
      <c r="U492" s="1"/>
      <c r="V492" s="1"/>
      <c r="W492" s="5"/>
      <c r="X492" s="1"/>
      <c r="Y492" s="5"/>
      <c r="Z492" s="1"/>
      <c r="AG492" s="5"/>
      <c r="AK492" s="5"/>
      <c r="AM492" s="5"/>
      <c r="AP492" s="5"/>
      <c r="AQ492" s="5"/>
      <c r="AR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>
        <v>0.22900000000000001</v>
      </c>
      <c r="BG492" s="5"/>
      <c r="BH492" s="5"/>
      <c r="BI492" s="5"/>
      <c r="BK492" s="5">
        <v>0.30499999999999999</v>
      </c>
      <c r="BP492"/>
      <c r="BR492"/>
      <c r="BS492"/>
      <c r="BU492" s="5"/>
      <c r="CH492" s="44"/>
    </row>
    <row r="493" spans="1:86" x14ac:dyDescent="0.2">
      <c r="A493" s="3" t="s">
        <v>19</v>
      </c>
      <c r="B493" s="39">
        <v>631</v>
      </c>
      <c r="C493" s="82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R493" s="1"/>
      <c r="S493" s="1"/>
      <c r="T493" s="1"/>
      <c r="U493" s="1"/>
      <c r="V493" s="1"/>
      <c r="W493" s="5"/>
      <c r="X493" s="1"/>
      <c r="Y493" s="5"/>
      <c r="Z493" s="1"/>
      <c r="AG493" s="5"/>
      <c r="AK493" s="5"/>
      <c r="AM493" s="5"/>
      <c r="AP493" s="5"/>
      <c r="AQ493" s="5"/>
      <c r="AR493" s="5"/>
      <c r="AS493" s="5">
        <v>1.7999999999999999E-2</v>
      </c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G493" s="5"/>
      <c r="BH493" s="5">
        <v>2.8000000000000001E-2</v>
      </c>
      <c r="BI493" s="5"/>
      <c r="BK493" s="5"/>
      <c r="BP493"/>
      <c r="BR493"/>
      <c r="BS493"/>
      <c r="BU493" s="5"/>
      <c r="CH493" s="44"/>
    </row>
    <row r="494" spans="1:86" x14ac:dyDescent="0.2">
      <c r="A494" s="3" t="s">
        <v>19</v>
      </c>
      <c r="B494" s="39">
        <v>632</v>
      </c>
      <c r="C494" s="82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R494" s="1"/>
      <c r="S494" s="1"/>
      <c r="T494" s="1"/>
      <c r="U494" s="1"/>
      <c r="V494" s="1"/>
      <c r="W494" s="5"/>
      <c r="X494" s="1"/>
      <c r="Y494" s="5"/>
      <c r="Z494" s="1"/>
      <c r="AG494" s="5"/>
      <c r="AK494" s="5"/>
      <c r="AM494" s="5"/>
      <c r="AP494" s="5"/>
      <c r="AQ494" s="5"/>
      <c r="AR494" s="5"/>
      <c r="AS494" s="5"/>
      <c r="AU494" s="5"/>
      <c r="AV494" s="5">
        <v>1.4E-2</v>
      </c>
      <c r="AW494" s="5"/>
      <c r="AX494" s="5"/>
      <c r="AZ494" s="5"/>
      <c r="BA494" s="5"/>
      <c r="BB494" s="5"/>
      <c r="BC494" s="5"/>
      <c r="BD494" s="5"/>
      <c r="BE494" s="5"/>
      <c r="BG494" s="5"/>
      <c r="BH494" s="5">
        <v>0.05</v>
      </c>
      <c r="BI494" s="5"/>
      <c r="BK494" s="5"/>
      <c r="BP494"/>
      <c r="BR494"/>
      <c r="BS494"/>
      <c r="BU494" s="5"/>
      <c r="CH494" s="44"/>
    </row>
    <row r="495" spans="1:86" x14ac:dyDescent="0.2">
      <c r="A495" s="3" t="s">
        <v>19</v>
      </c>
      <c r="B495" s="39">
        <v>632</v>
      </c>
      <c r="C495" s="82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R495" s="1"/>
      <c r="S495" s="1"/>
      <c r="T495" s="1"/>
      <c r="U495" s="1"/>
      <c r="V495" s="1"/>
      <c r="W495" s="5"/>
      <c r="X495" s="1"/>
      <c r="Y495" s="5"/>
      <c r="Z495" s="1"/>
      <c r="AG495" s="5"/>
      <c r="AK495" s="5"/>
      <c r="AM495" s="5"/>
      <c r="AP495" s="5"/>
      <c r="AQ495" s="5"/>
      <c r="AR495" s="5"/>
      <c r="AS495" s="5"/>
      <c r="AU495" s="5"/>
      <c r="AV495" s="5">
        <v>1.4999999999999999E-2</v>
      </c>
      <c r="AW495" s="5"/>
      <c r="AX495" s="5"/>
      <c r="AZ495" s="5"/>
      <c r="BA495" s="5"/>
      <c r="BB495" s="5"/>
      <c r="BC495" s="5"/>
      <c r="BD495" s="5"/>
      <c r="BE495" s="5"/>
      <c r="BG495" s="5"/>
      <c r="BH495" s="5">
        <v>4.3999999999999997E-2</v>
      </c>
      <c r="BI495" s="5"/>
      <c r="BK495" s="5"/>
      <c r="BP495"/>
      <c r="BR495"/>
      <c r="BS495"/>
      <c r="BU495" s="5"/>
      <c r="CH495" s="44"/>
    </row>
    <row r="496" spans="1:86" x14ac:dyDescent="0.2">
      <c r="A496" s="3" t="s">
        <v>19</v>
      </c>
      <c r="B496" s="39">
        <v>633</v>
      </c>
      <c r="C496" s="82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R496" s="1"/>
      <c r="S496" s="1"/>
      <c r="T496" s="1"/>
      <c r="U496" s="1"/>
      <c r="V496" s="1"/>
      <c r="W496" s="5"/>
      <c r="X496" s="1"/>
      <c r="Y496" s="5"/>
      <c r="Z496" s="1"/>
      <c r="AG496" s="5"/>
      <c r="AK496" s="5"/>
      <c r="AM496" s="5"/>
      <c r="AP496" s="5"/>
      <c r="AQ496" s="5"/>
      <c r="AR496" s="5"/>
      <c r="AS496" s="5"/>
      <c r="AU496" s="5"/>
      <c r="AV496" s="5"/>
      <c r="AW496" s="5"/>
      <c r="AX496" s="5"/>
      <c r="AZ496" s="5"/>
      <c r="BA496" s="5">
        <v>5.8000000000000003E-2</v>
      </c>
      <c r="BB496" s="5"/>
      <c r="BC496" s="5"/>
      <c r="BD496" s="5"/>
      <c r="BE496" s="5"/>
      <c r="BG496" s="5">
        <v>0.13300000000000001</v>
      </c>
      <c r="BI496" s="5"/>
      <c r="BK496" s="5"/>
      <c r="BP496"/>
      <c r="BR496"/>
      <c r="BS496"/>
      <c r="BU496" s="5"/>
      <c r="CH496" s="44"/>
    </row>
    <row r="497" spans="1:86" x14ac:dyDescent="0.2">
      <c r="A497" s="3" t="s">
        <v>19</v>
      </c>
      <c r="B497" s="39">
        <v>634</v>
      </c>
      <c r="C497" s="82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R497" s="1"/>
      <c r="S497" s="1"/>
      <c r="T497" s="1"/>
      <c r="U497" s="1"/>
      <c r="V497" s="1"/>
      <c r="W497" s="5"/>
      <c r="X497" s="1"/>
      <c r="Y497" s="5"/>
      <c r="Z497" s="1"/>
      <c r="AG497" s="5"/>
      <c r="AK497" s="5"/>
      <c r="AM497" s="5"/>
      <c r="AP497" s="5"/>
      <c r="AQ497" s="5"/>
      <c r="AR497" s="5"/>
      <c r="AS497" s="5"/>
      <c r="AU497" s="5"/>
      <c r="AV497" s="5"/>
      <c r="AW497" s="5"/>
      <c r="AX497" s="5"/>
      <c r="AZ497" s="5"/>
      <c r="BA497" s="5"/>
      <c r="BB497" s="5"/>
      <c r="BC497" s="5">
        <v>1.6E-2</v>
      </c>
      <c r="BD497" s="5"/>
      <c r="BE497" s="5"/>
      <c r="BG497" s="5"/>
      <c r="BI497" s="5"/>
      <c r="BK497" s="5">
        <v>2.8000000000000001E-2</v>
      </c>
      <c r="BP497"/>
      <c r="BR497"/>
      <c r="BS497"/>
      <c r="BU497" s="5"/>
      <c r="CH497" s="44"/>
    </row>
    <row r="498" spans="1:86" x14ac:dyDescent="0.2">
      <c r="A498" s="3" t="s">
        <v>19</v>
      </c>
      <c r="B498" s="39">
        <v>635</v>
      </c>
      <c r="C498" s="82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R498" s="1"/>
      <c r="S498" s="1"/>
      <c r="T498" s="1"/>
      <c r="U498" s="1"/>
      <c r="V498" s="1"/>
      <c r="W498" s="5"/>
      <c r="X498" s="1"/>
      <c r="Y498" s="5"/>
      <c r="Z498" s="1"/>
      <c r="AG498" s="5"/>
      <c r="AK498" s="5"/>
      <c r="AM498" s="5"/>
      <c r="AP498" s="5"/>
      <c r="AQ498" s="5"/>
      <c r="AR498" s="5"/>
      <c r="AS498" s="5"/>
      <c r="AU498" s="5"/>
      <c r="AV498" s="5"/>
      <c r="AW498" s="5"/>
      <c r="AX498" s="5"/>
      <c r="AZ498" s="5"/>
      <c r="BA498" s="5"/>
      <c r="BB498" s="5"/>
      <c r="BC498" s="5"/>
      <c r="BD498" s="5"/>
      <c r="BE498" s="5"/>
      <c r="BG498" s="5"/>
      <c r="BI498" s="5"/>
      <c r="BK498" s="5">
        <v>0.30499999999999999</v>
      </c>
      <c r="BM498" s="5">
        <v>0.30599999999999999</v>
      </c>
      <c r="BP498"/>
      <c r="BR498"/>
      <c r="BS498"/>
      <c r="BU498" s="5"/>
      <c r="CH498" s="44"/>
    </row>
    <row r="499" spans="1:86" x14ac:dyDescent="0.2">
      <c r="A499" s="3" t="s">
        <v>19</v>
      </c>
      <c r="B499" s="39">
        <v>636</v>
      </c>
      <c r="C499" s="82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R499" s="1"/>
      <c r="S499" s="1"/>
      <c r="T499" s="1"/>
      <c r="U499" s="1"/>
      <c r="V499" s="1"/>
      <c r="W499" s="5"/>
      <c r="X499" s="1"/>
      <c r="Y499" s="5"/>
      <c r="Z499" s="1"/>
      <c r="AG499" s="5"/>
      <c r="AK499" s="5"/>
      <c r="AM499" s="5"/>
      <c r="AP499" s="5"/>
      <c r="AQ499" s="5"/>
      <c r="AR499" s="5"/>
      <c r="AS499" s="5"/>
      <c r="AU499" s="5"/>
      <c r="AV499" s="5"/>
      <c r="AW499" s="5"/>
      <c r="AX499" s="5"/>
      <c r="AZ499" s="5">
        <v>8.4000000000000005E-2</v>
      </c>
      <c r="BA499" s="5">
        <v>8.6999999999999994E-2</v>
      </c>
      <c r="BB499" s="5">
        <v>8.4000000000000005E-2</v>
      </c>
      <c r="BC499" s="5">
        <v>9.7000000000000003E-2</v>
      </c>
      <c r="BD499" s="5">
        <v>0.10199999999999999</v>
      </c>
      <c r="BE499" s="5">
        <v>9.6000000000000002E-2</v>
      </c>
      <c r="BF499" s="5">
        <v>0.10199999999999999</v>
      </c>
      <c r="BG499" s="5"/>
      <c r="BI499" s="5"/>
      <c r="BK499" s="5"/>
      <c r="BM499" s="5"/>
      <c r="BP499"/>
      <c r="BR499"/>
      <c r="BS499"/>
      <c r="BU499" s="5"/>
      <c r="CH499" s="44"/>
    </row>
    <row r="500" spans="1:86" x14ac:dyDescent="0.2">
      <c r="A500" s="3" t="s">
        <v>19</v>
      </c>
      <c r="B500" s="39">
        <v>636</v>
      </c>
      <c r="C500" s="82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R500" s="1"/>
      <c r="S500" s="1"/>
      <c r="T500" s="1"/>
      <c r="U500" s="1"/>
      <c r="V500" s="1"/>
      <c r="W500" s="5"/>
      <c r="X500" s="1"/>
      <c r="Y500" s="5"/>
      <c r="Z500" s="1"/>
      <c r="AG500" s="5"/>
      <c r="AK500" s="5"/>
      <c r="AM500" s="5"/>
      <c r="AP500" s="5"/>
      <c r="AQ500" s="5"/>
      <c r="AR500" s="5"/>
      <c r="AS500" s="5"/>
      <c r="AU500" s="5"/>
      <c r="AV500" s="5"/>
      <c r="AW500" s="5"/>
      <c r="AX500" s="5"/>
      <c r="AZ500" s="5"/>
      <c r="BA500" s="5"/>
      <c r="BB500" s="5"/>
      <c r="BC500" s="5"/>
      <c r="BD500" s="5"/>
      <c r="BE500" s="5"/>
      <c r="BF500" s="5">
        <v>0.1</v>
      </c>
      <c r="BG500" s="5">
        <v>0.11</v>
      </c>
      <c r="BH500" s="5">
        <v>0.112</v>
      </c>
      <c r="BI500" s="5">
        <v>0.11199999999999999</v>
      </c>
      <c r="BJ500" s="5">
        <v>0.11700000000000001</v>
      </c>
      <c r="BK500" s="5">
        <v>0.123</v>
      </c>
      <c r="BL500" s="5">
        <v>0.126</v>
      </c>
      <c r="BM500" s="5"/>
      <c r="BP500"/>
      <c r="BR500"/>
      <c r="BS500"/>
      <c r="BU500" s="5"/>
      <c r="CH500" s="44"/>
    </row>
    <row r="501" spans="1:86" x14ac:dyDescent="0.2">
      <c r="A501" s="3" t="s">
        <v>19</v>
      </c>
      <c r="B501" s="39">
        <v>636</v>
      </c>
      <c r="C501" s="82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R501" s="1"/>
      <c r="S501" s="1"/>
      <c r="T501" s="1"/>
      <c r="U501" s="1"/>
      <c r="V501" s="1"/>
      <c r="W501" s="5"/>
      <c r="X501" s="1"/>
      <c r="Y501" s="5"/>
      <c r="Z501" s="1"/>
      <c r="AG501" s="5"/>
      <c r="AK501" s="5"/>
      <c r="AM501" s="5"/>
      <c r="AP501" s="5"/>
      <c r="AQ501" s="5"/>
      <c r="AR501" s="5"/>
      <c r="AS501" s="5"/>
      <c r="AU501" s="5"/>
      <c r="AV501" s="5"/>
      <c r="AW501" s="5"/>
      <c r="AX501" s="5"/>
      <c r="AZ501" s="5">
        <v>8.2000000000000003E-2</v>
      </c>
      <c r="BA501" s="5">
        <v>0.09</v>
      </c>
      <c r="BB501" s="5">
        <v>8.8999999999999996E-2</v>
      </c>
      <c r="BC501" s="5">
        <v>9.1999999999999998E-2</v>
      </c>
      <c r="BD501" s="5">
        <v>9.5000000000000001E-2</v>
      </c>
      <c r="BE501" s="5">
        <v>9.6000000000000002E-2</v>
      </c>
      <c r="BF501" s="5">
        <v>0.104</v>
      </c>
      <c r="BG501" s="5"/>
      <c r="BI501" s="5"/>
      <c r="BK501" s="5"/>
      <c r="BM501" s="5"/>
      <c r="BP501"/>
      <c r="BR501"/>
      <c r="BS501"/>
      <c r="BU501" s="5"/>
      <c r="CH501" s="44"/>
    </row>
    <row r="502" spans="1:86" x14ac:dyDescent="0.2">
      <c r="A502" s="3" t="s">
        <v>19</v>
      </c>
      <c r="B502" s="39">
        <v>636</v>
      </c>
      <c r="C502" s="82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R502" s="1"/>
      <c r="S502" s="1"/>
      <c r="T502" s="1"/>
      <c r="U502" s="1"/>
      <c r="V502" s="1"/>
      <c r="W502" s="5"/>
      <c r="X502" s="1"/>
      <c r="Y502" s="5"/>
      <c r="Z502" s="1"/>
      <c r="AG502" s="5"/>
      <c r="AK502" s="5"/>
      <c r="AM502" s="5"/>
      <c r="AP502" s="5"/>
      <c r="AQ502" s="5"/>
      <c r="AR502" s="5"/>
      <c r="AS502" s="5"/>
      <c r="AU502" s="5"/>
      <c r="AV502" s="5"/>
      <c r="AW502" s="5"/>
      <c r="AX502" s="5"/>
      <c r="AZ502" s="5"/>
      <c r="BA502" s="5"/>
      <c r="BB502" s="5"/>
      <c r="BC502" s="5"/>
      <c r="BD502" s="5"/>
      <c r="BE502" s="5"/>
      <c r="BF502" s="5">
        <v>8.6999999999999994E-2</v>
      </c>
      <c r="BG502" s="5">
        <v>8.8999999999999996E-2</v>
      </c>
      <c r="BH502" s="5">
        <v>9.0999999999999998E-2</v>
      </c>
      <c r="BI502" s="5">
        <v>9.7000000000000003E-2</v>
      </c>
      <c r="BJ502" s="5">
        <v>0.10199999999999999</v>
      </c>
      <c r="BK502" s="5">
        <v>9.9000000000000005E-2</v>
      </c>
      <c r="BL502" s="5">
        <v>0.108</v>
      </c>
      <c r="BM502" s="5"/>
      <c r="BP502"/>
      <c r="BR502"/>
      <c r="BS502"/>
      <c r="BU502" s="5"/>
      <c r="CH502" s="44"/>
    </row>
    <row r="503" spans="1:86" x14ac:dyDescent="0.2">
      <c r="A503" s="3" t="s">
        <v>19</v>
      </c>
      <c r="B503" s="39">
        <v>637</v>
      </c>
      <c r="C503" s="82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R503" s="1"/>
      <c r="S503" s="1"/>
      <c r="T503" s="1"/>
      <c r="U503" s="1"/>
      <c r="V503" s="1"/>
      <c r="W503" s="5"/>
      <c r="X503" s="1"/>
      <c r="Y503" s="5"/>
      <c r="Z503" s="1"/>
      <c r="AG503" s="5"/>
      <c r="AK503" s="5"/>
      <c r="AM503" s="5"/>
      <c r="AP503" s="5"/>
      <c r="AQ503" s="5"/>
      <c r="AR503" s="5"/>
      <c r="AS503" s="5"/>
      <c r="AU503" s="5"/>
      <c r="AV503" s="5"/>
      <c r="AW503" s="5"/>
      <c r="AX503" s="5">
        <v>5.6000000000000001E-2</v>
      </c>
      <c r="AZ503" s="5"/>
      <c r="BA503" s="5"/>
      <c r="BB503" s="5"/>
      <c r="BC503" s="5"/>
      <c r="BE503" s="5"/>
      <c r="BF503" s="5"/>
      <c r="BG503" s="5"/>
      <c r="BH503" s="5"/>
      <c r="BI503" s="5"/>
      <c r="BJ503" s="5"/>
      <c r="BK503" s="5"/>
      <c r="BL503" s="5">
        <v>0.11799999999999999</v>
      </c>
      <c r="BM503" s="5"/>
      <c r="BP503"/>
      <c r="BR503"/>
      <c r="BS503"/>
      <c r="BU503" s="5"/>
      <c r="CH503" s="44"/>
    </row>
    <row r="504" spans="1:86" x14ac:dyDescent="0.2">
      <c r="A504" s="3" t="s">
        <v>19</v>
      </c>
      <c r="B504" s="39">
        <v>638</v>
      </c>
      <c r="C504" s="82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R504" s="1"/>
      <c r="S504" s="1"/>
      <c r="T504" s="1"/>
      <c r="U504" s="1"/>
      <c r="V504" s="1"/>
      <c r="W504" s="5"/>
      <c r="X504" s="1"/>
      <c r="Y504" s="5"/>
      <c r="Z504" s="1"/>
      <c r="AG504" s="5"/>
      <c r="AK504" s="5"/>
      <c r="AM504" s="5"/>
      <c r="AP504" s="5"/>
      <c r="AQ504" s="5"/>
      <c r="AR504" s="5"/>
      <c r="AS504" s="5"/>
      <c r="AU504" s="5">
        <v>1.2E-2</v>
      </c>
      <c r="AV504" s="5"/>
      <c r="AW504" s="5"/>
      <c r="AX504" s="5"/>
      <c r="AZ504" s="5"/>
      <c r="BA504" s="5"/>
      <c r="BB504" s="5"/>
      <c r="BC504" s="5"/>
      <c r="BE504" s="5"/>
      <c r="BF504" s="5"/>
      <c r="BG504" s="5"/>
      <c r="BH504" s="5">
        <v>3.4000000000000002E-2</v>
      </c>
      <c r="BI504" s="5"/>
      <c r="BJ504" s="5"/>
      <c r="BK504" s="5"/>
      <c r="BL504" s="5"/>
      <c r="BM504" s="5"/>
      <c r="BN504" s="5">
        <v>0.06</v>
      </c>
      <c r="BP504"/>
      <c r="BR504"/>
      <c r="BS504"/>
      <c r="BU504" s="5"/>
      <c r="CH504" s="44"/>
    </row>
    <row r="505" spans="1:86" x14ac:dyDescent="0.2">
      <c r="A505" s="3" t="s">
        <v>19</v>
      </c>
      <c r="B505" s="39">
        <v>638</v>
      </c>
      <c r="C505" s="82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R505" s="1"/>
      <c r="S505" s="1"/>
      <c r="T505" s="1"/>
      <c r="U505" s="1"/>
      <c r="V505" s="1"/>
      <c r="W505" s="5"/>
      <c r="X505" s="1"/>
      <c r="Y505" s="5"/>
      <c r="Z505" s="1"/>
      <c r="AG505" s="5"/>
      <c r="AK505" s="5"/>
      <c r="AM505" s="5"/>
      <c r="AP505" s="5"/>
      <c r="AQ505" s="5"/>
      <c r="AR505" s="5"/>
      <c r="AS505" s="5"/>
      <c r="AU505" s="5">
        <v>1.7999999999999999E-2</v>
      </c>
      <c r="AV505" s="5"/>
      <c r="AW505" s="5"/>
      <c r="AX505" s="5"/>
      <c r="AZ505" s="5"/>
      <c r="BA505" s="5"/>
      <c r="BB505" s="5"/>
      <c r="BC505" s="5"/>
      <c r="BE505" s="5"/>
      <c r="BF505" s="5"/>
      <c r="BG505" s="5"/>
      <c r="BH505" s="5">
        <v>4.4999999999999998E-2</v>
      </c>
      <c r="BI505" s="5"/>
      <c r="BJ505" s="5"/>
      <c r="BK505" s="5"/>
      <c r="BL505" s="5"/>
      <c r="BM505" s="5"/>
      <c r="BN505" s="5">
        <v>6.6000000000000003E-2</v>
      </c>
      <c r="BP505"/>
      <c r="BR505"/>
      <c r="BS505"/>
      <c r="BU505" s="5"/>
      <c r="CH505" s="44"/>
    </row>
    <row r="506" spans="1:86" x14ac:dyDescent="0.2">
      <c r="A506" s="3" t="s">
        <v>19</v>
      </c>
      <c r="B506" s="39">
        <v>639</v>
      </c>
      <c r="C506" s="82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R506" s="1"/>
      <c r="S506" s="1"/>
      <c r="T506" s="1"/>
      <c r="U506" s="1"/>
      <c r="V506" s="1"/>
      <c r="W506" s="5"/>
      <c r="X506" s="1"/>
      <c r="Y506" s="5"/>
      <c r="Z506" s="1"/>
      <c r="AG506" s="5"/>
      <c r="AK506" s="5"/>
      <c r="AM506" s="5"/>
      <c r="AP506" s="5"/>
      <c r="AQ506" s="5"/>
      <c r="AR506" s="5"/>
      <c r="AS506" s="5"/>
      <c r="AU506" s="5"/>
      <c r="AV506" s="5"/>
      <c r="AW506" s="5"/>
      <c r="AX506" s="5"/>
      <c r="AZ506" s="5"/>
      <c r="BA506" s="5"/>
      <c r="BB506" s="5"/>
      <c r="BC506" s="5"/>
      <c r="BE506" s="5"/>
      <c r="BF506" s="5"/>
      <c r="BG506" s="5"/>
      <c r="BH506" s="5"/>
      <c r="BI506" s="5"/>
      <c r="BJ506" s="5"/>
      <c r="BK506" s="5">
        <v>0.27500000000000002</v>
      </c>
      <c r="BL506" s="5"/>
      <c r="BM506" s="5"/>
      <c r="BN506" s="5"/>
      <c r="BO506" s="5">
        <v>0.311</v>
      </c>
      <c r="BP506"/>
      <c r="BR506"/>
      <c r="BS506"/>
      <c r="BU506" s="5"/>
      <c r="CH506" s="44"/>
    </row>
    <row r="507" spans="1:86" x14ac:dyDescent="0.2">
      <c r="A507" s="3" t="s">
        <v>19</v>
      </c>
      <c r="B507" s="39">
        <v>639</v>
      </c>
      <c r="C507" s="82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R507" s="1"/>
      <c r="S507" s="1"/>
      <c r="T507" s="1"/>
      <c r="U507" s="1"/>
      <c r="V507" s="1"/>
      <c r="W507" s="5"/>
      <c r="X507" s="1"/>
      <c r="Y507" s="5"/>
      <c r="Z507" s="1"/>
      <c r="AG507" s="5"/>
      <c r="AK507" s="5"/>
      <c r="AM507" s="5"/>
      <c r="AP507" s="5"/>
      <c r="AQ507" s="5"/>
      <c r="AR507" s="5"/>
      <c r="AS507" s="5"/>
      <c r="AU507" s="5"/>
      <c r="AV507" s="5"/>
      <c r="AW507" s="5"/>
      <c r="AX507" s="5"/>
      <c r="AZ507" s="5"/>
      <c r="BA507" s="5"/>
      <c r="BB507" s="5"/>
      <c r="BC507" s="5"/>
      <c r="BE507" s="5"/>
      <c r="BF507" s="5"/>
      <c r="BG507" s="5"/>
      <c r="BH507" s="5"/>
      <c r="BI507" s="5"/>
      <c r="BJ507" s="5"/>
      <c r="BK507" s="5">
        <v>0.33400000000000002</v>
      </c>
      <c r="BL507" s="5"/>
      <c r="BM507" s="5"/>
      <c r="BN507" s="5"/>
      <c r="BO507" s="5">
        <v>0.33200000000000002</v>
      </c>
      <c r="BP507"/>
      <c r="BR507"/>
      <c r="BS507"/>
      <c r="BU507" s="5"/>
      <c r="CH507" s="44"/>
    </row>
    <row r="508" spans="1:86" x14ac:dyDescent="0.2">
      <c r="A508" s="3" t="s">
        <v>19</v>
      </c>
      <c r="B508" s="39">
        <v>640</v>
      </c>
      <c r="C508" s="82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R508" s="1"/>
      <c r="S508" s="1"/>
      <c r="T508" s="1"/>
      <c r="U508" s="1"/>
      <c r="V508" s="1"/>
      <c r="W508" s="5"/>
      <c r="X508" s="1"/>
      <c r="Y508" s="5"/>
      <c r="Z508" s="1"/>
      <c r="AG508" s="5"/>
      <c r="AK508" s="5"/>
      <c r="AM508" s="5"/>
      <c r="AP508" s="5"/>
      <c r="AQ508" s="5">
        <v>0.151</v>
      </c>
      <c r="AR508" s="5"/>
      <c r="AS508" s="5"/>
      <c r="AU508" s="5"/>
      <c r="AV508" s="5"/>
      <c r="AW508" s="5"/>
      <c r="AX508" s="5"/>
      <c r="AZ508" s="5"/>
      <c r="BA508" s="5"/>
      <c r="BB508" s="5"/>
      <c r="BC508" s="5"/>
      <c r="BE508" s="5">
        <v>0.23300000000000001</v>
      </c>
      <c r="BF508" s="5"/>
      <c r="BG508" s="5"/>
      <c r="BH508" s="5"/>
      <c r="BI508" s="5"/>
      <c r="BJ508" s="5"/>
      <c r="BK508" s="5"/>
      <c r="BL508" s="5"/>
      <c r="BM508" s="5">
        <v>0.311</v>
      </c>
      <c r="BN508" s="5"/>
      <c r="BO508" s="5"/>
      <c r="BP508"/>
      <c r="BR508"/>
      <c r="BS508"/>
      <c r="BU508" s="5"/>
      <c r="CH508" s="44"/>
    </row>
    <row r="509" spans="1:86" x14ac:dyDescent="0.2">
      <c r="A509" s="3" t="s">
        <v>19</v>
      </c>
      <c r="B509" s="39">
        <v>641</v>
      </c>
      <c r="C509" s="82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R509" s="1"/>
      <c r="S509" s="1"/>
      <c r="T509" s="1"/>
      <c r="U509" s="1"/>
      <c r="V509" s="1"/>
      <c r="W509" s="5"/>
      <c r="X509" s="1"/>
      <c r="Y509" s="5"/>
      <c r="Z509" s="1"/>
      <c r="AG509" s="5"/>
      <c r="AK509" s="5"/>
      <c r="AM509" s="5"/>
      <c r="AP509" s="5"/>
      <c r="AQ509" s="5"/>
      <c r="AR509" s="5"/>
      <c r="AS509" s="5"/>
      <c r="AU509" s="5"/>
      <c r="AV509" s="5">
        <v>0.109</v>
      </c>
      <c r="AW509" s="5"/>
      <c r="AX509" s="5"/>
      <c r="AZ509" s="5"/>
      <c r="BA509" s="5"/>
      <c r="BB509" s="5"/>
      <c r="BC509" s="5"/>
      <c r="BE509" s="5"/>
      <c r="BF509" s="5"/>
      <c r="BG509" s="5"/>
      <c r="BH509" s="5">
        <v>0.20599999999999999</v>
      </c>
      <c r="BI509" s="5"/>
      <c r="BJ509" s="5"/>
      <c r="BK509" s="5"/>
      <c r="BL509" s="5"/>
      <c r="BM509" s="5"/>
      <c r="BN509" s="5"/>
      <c r="BO509" s="5">
        <v>0.25700000000000001</v>
      </c>
      <c r="BP509"/>
      <c r="BR509"/>
      <c r="BS509"/>
      <c r="BU509" s="5"/>
      <c r="CH509" s="44"/>
    </row>
    <row r="510" spans="1:86" x14ac:dyDescent="0.2">
      <c r="A510" s="3" t="s">
        <v>19</v>
      </c>
      <c r="B510" s="39">
        <v>641</v>
      </c>
      <c r="C510" s="82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R510" s="1"/>
      <c r="S510" s="1"/>
      <c r="T510" s="1"/>
      <c r="U510" s="1"/>
      <c r="V510" s="1"/>
      <c r="W510" s="5"/>
      <c r="X510" s="1"/>
      <c r="Y510" s="5"/>
      <c r="Z510" s="1"/>
      <c r="AG510" s="5"/>
      <c r="AK510" s="5"/>
      <c r="AM510" s="5"/>
      <c r="AP510" s="5"/>
      <c r="AQ510" s="5"/>
      <c r="AR510" s="5"/>
      <c r="AS510" s="5"/>
      <c r="AU510" s="5"/>
      <c r="AV510" s="5">
        <v>0.106</v>
      </c>
      <c r="AW510" s="5"/>
      <c r="AX510" s="5"/>
      <c r="AZ510" s="5"/>
      <c r="BA510" s="5"/>
      <c r="BB510" s="5"/>
      <c r="BC510" s="5"/>
      <c r="BE510" s="5"/>
      <c r="BF510" s="5"/>
      <c r="BG510" s="5"/>
      <c r="BH510" s="5">
        <v>0.19500000000000001</v>
      </c>
      <c r="BI510" s="5"/>
      <c r="BJ510" s="5"/>
      <c r="BK510" s="5"/>
      <c r="BL510" s="5"/>
      <c r="BM510" s="5"/>
      <c r="BN510" s="5"/>
      <c r="BO510" s="5">
        <v>0.26100000000000001</v>
      </c>
      <c r="BP510"/>
      <c r="BR510"/>
      <c r="BS510"/>
      <c r="BU510" s="5"/>
      <c r="CH510" s="44"/>
    </row>
    <row r="511" spans="1:86" x14ac:dyDescent="0.2">
      <c r="A511" s="3" t="s">
        <v>19</v>
      </c>
      <c r="B511" s="39">
        <v>641</v>
      </c>
      <c r="C511" s="82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R511" s="1"/>
      <c r="S511" s="1"/>
      <c r="T511" s="1"/>
      <c r="U511" s="1"/>
      <c r="V511" s="1"/>
      <c r="W511" s="5"/>
      <c r="X511" s="1"/>
      <c r="Y511" s="5"/>
      <c r="Z511" s="1"/>
      <c r="AG511" s="5"/>
      <c r="AK511" s="5"/>
      <c r="AM511" s="5"/>
      <c r="AP511" s="5"/>
      <c r="AQ511" s="5"/>
      <c r="AR511" s="5"/>
      <c r="AS511" s="5"/>
      <c r="AU511" s="5"/>
      <c r="AV511" s="5">
        <v>0.14000000000000001</v>
      </c>
      <c r="AW511" s="5"/>
      <c r="AX511" s="5"/>
      <c r="AZ511" s="5"/>
      <c r="BA511" s="5"/>
      <c r="BB511" s="5"/>
      <c r="BC511" s="5"/>
      <c r="BE511" s="5"/>
      <c r="BF511" s="5"/>
      <c r="BG511" s="5"/>
      <c r="BH511" s="5">
        <v>0.22</v>
      </c>
      <c r="BI511" s="5"/>
      <c r="BJ511" s="5"/>
      <c r="BK511" s="5"/>
      <c r="BL511" s="5"/>
      <c r="BM511" s="5"/>
      <c r="BN511" s="5"/>
      <c r="BO511" s="5">
        <v>0.248</v>
      </c>
      <c r="BP511"/>
      <c r="BR511"/>
      <c r="BS511"/>
      <c r="BU511" s="5"/>
      <c r="CH511" s="44"/>
    </row>
    <row r="512" spans="1:86" x14ac:dyDescent="0.2">
      <c r="A512" s="3" t="s">
        <v>19</v>
      </c>
      <c r="B512" s="39">
        <v>641</v>
      </c>
      <c r="C512" s="82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R512" s="1"/>
      <c r="S512" s="1"/>
      <c r="T512" s="1"/>
      <c r="U512" s="1"/>
      <c r="V512" s="1"/>
      <c r="W512" s="5"/>
      <c r="X512" s="1"/>
      <c r="Y512" s="5"/>
      <c r="Z512" s="1"/>
      <c r="AG512" s="5"/>
      <c r="AK512" s="5"/>
      <c r="AM512" s="5"/>
      <c r="AP512" s="5"/>
      <c r="AQ512" s="5"/>
      <c r="AR512" s="5"/>
      <c r="AS512" s="5"/>
      <c r="AU512" s="5"/>
      <c r="AV512" s="5">
        <v>8.3000000000000004E-2</v>
      </c>
      <c r="AW512" s="5"/>
      <c r="AX512" s="5"/>
      <c r="AZ512" s="5"/>
      <c r="BA512" s="5"/>
      <c r="BB512" s="5"/>
      <c r="BC512" s="5"/>
      <c r="BE512" s="5"/>
      <c r="BF512" s="5"/>
      <c r="BG512" s="5"/>
      <c r="BH512" s="5">
        <v>0.17899999999999999</v>
      </c>
      <c r="BI512" s="5"/>
      <c r="BJ512" s="5"/>
      <c r="BK512" s="5"/>
      <c r="BL512" s="5"/>
      <c r="BM512" s="5"/>
      <c r="BN512" s="5"/>
      <c r="BO512" s="5">
        <v>0.19800000000000001</v>
      </c>
      <c r="BP512"/>
      <c r="BR512"/>
      <c r="BS512"/>
      <c r="BU512" s="5"/>
      <c r="CH512" s="44"/>
    </row>
    <row r="513" spans="1:86" x14ac:dyDescent="0.2">
      <c r="A513" s="3" t="s">
        <v>19</v>
      </c>
      <c r="B513" s="39">
        <v>642</v>
      </c>
      <c r="C513" s="82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R513" s="1"/>
      <c r="S513" s="1"/>
      <c r="T513" s="1"/>
      <c r="U513" s="1"/>
      <c r="V513" s="1"/>
      <c r="W513" s="5"/>
      <c r="X513" s="1"/>
      <c r="Y513" s="5"/>
      <c r="Z513" s="1"/>
      <c r="AG513" s="5"/>
      <c r="AK513" s="5"/>
      <c r="AM513" s="5"/>
      <c r="AP513" s="5"/>
      <c r="AQ513" s="5"/>
      <c r="AR513" s="5"/>
      <c r="AS513" s="5"/>
      <c r="AU513" s="5"/>
      <c r="AV513" s="5"/>
      <c r="AW513" s="5"/>
      <c r="AX513" s="5"/>
      <c r="AY513" s="5">
        <v>3.4000000000000002E-2</v>
      </c>
      <c r="AZ513" s="5"/>
      <c r="BA513" s="5"/>
      <c r="BB513" s="5"/>
      <c r="BC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>
        <v>0.245</v>
      </c>
      <c r="BR513"/>
      <c r="BS513"/>
      <c r="BU513" s="5"/>
      <c r="CH513" s="44"/>
    </row>
    <row r="514" spans="1:86" x14ac:dyDescent="0.2">
      <c r="A514" s="3" t="s">
        <v>19</v>
      </c>
      <c r="B514" s="39">
        <v>643</v>
      </c>
      <c r="C514" s="82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R514" s="1"/>
      <c r="S514" s="1"/>
      <c r="T514" s="1"/>
      <c r="U514" s="1"/>
      <c r="V514" s="1"/>
      <c r="W514" s="5"/>
      <c r="X514" s="1"/>
      <c r="Y514" s="5"/>
      <c r="Z514" s="1"/>
      <c r="AG514" s="5"/>
      <c r="AK514" s="5"/>
      <c r="AM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E514" s="5"/>
      <c r="BF514" s="5"/>
      <c r="BG514" s="5"/>
      <c r="BH514" s="5"/>
      <c r="BI514" s="5"/>
      <c r="BJ514" s="5"/>
      <c r="BK514" s="5"/>
      <c r="BL514" s="5">
        <v>0.20699999999999999</v>
      </c>
      <c r="BM514" s="5">
        <v>0.216</v>
      </c>
      <c r="BN514" s="5">
        <v>0.22600000000000001</v>
      </c>
      <c r="BO514" s="5">
        <v>0.23599999999999999</v>
      </c>
      <c r="BP514" s="5">
        <v>0.246</v>
      </c>
      <c r="BR514"/>
      <c r="BS514"/>
      <c r="BU514" s="5"/>
      <c r="CH514" s="44"/>
    </row>
    <row r="515" spans="1:86" x14ac:dyDescent="0.2">
      <c r="A515" s="3" t="s">
        <v>19</v>
      </c>
      <c r="B515" s="39">
        <v>644</v>
      </c>
      <c r="C515" s="82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R515" s="1"/>
      <c r="S515" s="1"/>
      <c r="T515" s="1"/>
      <c r="U515" s="1"/>
      <c r="V515" s="1"/>
      <c r="W515" s="5"/>
      <c r="X515" s="1"/>
      <c r="Y515" s="5"/>
      <c r="Z515" s="1"/>
      <c r="AG515" s="5"/>
      <c r="AK515" s="5"/>
      <c r="AM515" s="5"/>
      <c r="AP515" s="5"/>
      <c r="AQ515" s="5">
        <v>2E-3</v>
      </c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E515" s="5"/>
      <c r="BF515" s="5"/>
      <c r="BG515" s="5"/>
      <c r="BH515" s="5">
        <v>1.2E-2</v>
      </c>
      <c r="BI515" s="5"/>
      <c r="BJ515" s="5"/>
      <c r="BK515" s="5"/>
      <c r="BL515" s="5"/>
      <c r="BM515" s="5"/>
      <c r="BN515" s="5">
        <v>2.5999999999999999E-2</v>
      </c>
      <c r="BO515" s="5"/>
      <c r="BP515" s="5"/>
      <c r="BR515"/>
      <c r="BS515"/>
      <c r="BU515" s="5"/>
      <c r="CH515" s="44"/>
    </row>
    <row r="516" spans="1:86" x14ac:dyDescent="0.2">
      <c r="A516" s="3" t="s">
        <v>19</v>
      </c>
      <c r="B516" s="39">
        <v>644</v>
      </c>
      <c r="C516" s="82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R516" s="1"/>
      <c r="S516" s="1"/>
      <c r="T516" s="1"/>
      <c r="U516" s="1"/>
      <c r="V516" s="1"/>
      <c r="W516" s="5"/>
      <c r="X516" s="1"/>
      <c r="Y516" s="5"/>
      <c r="Z516" s="1"/>
      <c r="AG516" s="5"/>
      <c r="AK516" s="5"/>
      <c r="AM516" s="5"/>
      <c r="AP516" s="5"/>
      <c r="AQ516" s="5">
        <v>5.0000000000000001E-3</v>
      </c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E516" s="5"/>
      <c r="BF516" s="5"/>
      <c r="BG516" s="5"/>
      <c r="BH516" s="5">
        <v>0.02</v>
      </c>
      <c r="BI516" s="5"/>
      <c r="BJ516" s="5"/>
      <c r="BK516" s="5"/>
      <c r="BL516" s="5"/>
      <c r="BM516" s="5"/>
      <c r="BN516" s="5">
        <v>3.3000000000000002E-2</v>
      </c>
      <c r="BO516" s="5"/>
      <c r="BP516" s="5"/>
      <c r="BR516"/>
      <c r="BS516"/>
      <c r="BU516" s="5"/>
      <c r="CH516" s="44"/>
    </row>
    <row r="517" spans="1:86" x14ac:dyDescent="0.2">
      <c r="A517" s="3" t="s">
        <v>19</v>
      </c>
      <c r="B517" s="39">
        <v>645</v>
      </c>
      <c r="C517" s="82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R517" s="1"/>
      <c r="S517" s="1"/>
      <c r="T517" s="1"/>
      <c r="U517" s="1"/>
      <c r="V517" s="1"/>
      <c r="W517" s="5"/>
      <c r="X517" s="1"/>
      <c r="Y517" s="5"/>
      <c r="Z517" s="1"/>
      <c r="AG517" s="5"/>
      <c r="AK517" s="5"/>
      <c r="AM517" s="5"/>
      <c r="AP517" s="5"/>
      <c r="AQ517" s="5">
        <v>9.9000000000000005E-2</v>
      </c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E517" s="5">
        <v>0.14299999999999999</v>
      </c>
      <c r="BF517" s="5"/>
      <c r="BG517" s="5"/>
      <c r="BH517" s="5"/>
      <c r="BI517" s="5"/>
      <c r="BJ517" s="5"/>
      <c r="BK517" s="5"/>
      <c r="BL517" s="5"/>
      <c r="BM517" s="5"/>
      <c r="BN517" s="5"/>
      <c r="BO517" s="5">
        <v>0.185</v>
      </c>
      <c r="BP517" s="5"/>
      <c r="BR517"/>
      <c r="BS517"/>
      <c r="BU517" s="5"/>
      <c r="CH517" s="44"/>
    </row>
    <row r="518" spans="1:86" x14ac:dyDescent="0.2">
      <c r="A518" s="3" t="s">
        <v>19</v>
      </c>
      <c r="B518" s="39">
        <v>646</v>
      </c>
      <c r="C518" s="82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R518" s="1"/>
      <c r="S518" s="1"/>
      <c r="T518" s="1"/>
      <c r="U518" s="1"/>
      <c r="V518" s="1"/>
      <c r="W518" s="5"/>
      <c r="X518" s="1"/>
      <c r="Y518" s="5"/>
      <c r="Z518" s="1"/>
      <c r="AG518" s="5"/>
      <c r="AK518" s="5"/>
      <c r="AM518" s="5"/>
      <c r="AP518" s="5"/>
      <c r="AQ518" s="5"/>
      <c r="AR518" s="5"/>
      <c r="AS518" s="5">
        <v>2E-3</v>
      </c>
      <c r="AU518" s="5"/>
      <c r="AV518" s="5"/>
      <c r="AW518" s="5"/>
      <c r="AX518" s="5"/>
      <c r="AY518" s="5"/>
      <c r="AZ518" s="5"/>
      <c r="BA518" s="5"/>
      <c r="BB518" s="5"/>
      <c r="BC518" s="5">
        <v>8.9999999999999993E-3</v>
      </c>
      <c r="BE518" s="5"/>
      <c r="BF518" s="5"/>
      <c r="BG518" s="5"/>
      <c r="BH518" s="5"/>
      <c r="BI518" s="5"/>
      <c r="BJ518" s="5"/>
      <c r="BK518" s="5"/>
      <c r="BL518" s="5"/>
      <c r="BM518" s="5">
        <v>8.9999999999999993E-3</v>
      </c>
      <c r="BN518" s="5"/>
      <c r="BO518" s="5"/>
      <c r="BP518" s="5"/>
      <c r="BR518"/>
      <c r="BS518"/>
      <c r="BU518" s="5"/>
      <c r="CH518" s="44"/>
    </row>
    <row r="519" spans="1:86" x14ac:dyDescent="0.2">
      <c r="A519" s="3" t="s">
        <v>19</v>
      </c>
      <c r="B519" s="39">
        <v>647</v>
      </c>
      <c r="C519" s="82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R519" s="1"/>
      <c r="S519" s="1"/>
      <c r="T519" s="1"/>
      <c r="U519" s="1"/>
      <c r="V519" s="1"/>
      <c r="W519" s="5"/>
      <c r="X519" s="1"/>
      <c r="Y519" s="5"/>
      <c r="Z519" s="1"/>
      <c r="AG519" s="5"/>
      <c r="AK519" s="5"/>
      <c r="AM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>
        <v>4.4999999999999998E-2</v>
      </c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>
        <v>6.3E-2</v>
      </c>
      <c r="BR519"/>
      <c r="BS519"/>
      <c r="BU519" s="5"/>
      <c r="CH519" s="44"/>
    </row>
    <row r="520" spans="1:86" x14ac:dyDescent="0.2">
      <c r="A520" s="3" t="s">
        <v>19</v>
      </c>
      <c r="B520" s="39">
        <v>648</v>
      </c>
      <c r="C520" s="82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R520" s="1"/>
      <c r="S520" s="1"/>
      <c r="T520" s="1"/>
      <c r="U520" s="1"/>
      <c r="V520" s="1"/>
      <c r="W520" s="5"/>
      <c r="X520" s="1"/>
      <c r="Y520" s="5"/>
      <c r="Z520" s="1"/>
      <c r="AG520" s="5"/>
      <c r="AK520" s="5"/>
      <c r="AM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>
        <v>0.13600000000000001</v>
      </c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>
        <v>0.24</v>
      </c>
      <c r="BP520" s="5"/>
      <c r="BQ520" s="5"/>
      <c r="BR520"/>
      <c r="BS520"/>
      <c r="BU520" s="5"/>
      <c r="CH520" s="44"/>
    </row>
    <row r="521" spans="1:86" x14ac:dyDescent="0.2">
      <c r="A521" s="3" t="s">
        <v>19</v>
      </c>
      <c r="B521" s="39">
        <v>648</v>
      </c>
      <c r="C521" s="82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R521" s="1"/>
      <c r="S521" s="1"/>
      <c r="T521" s="1"/>
      <c r="U521" s="1"/>
      <c r="V521" s="1"/>
      <c r="W521" s="5"/>
      <c r="X521" s="1"/>
      <c r="Y521" s="5"/>
      <c r="Z521" s="1"/>
      <c r="AG521" s="5"/>
      <c r="AK521" s="5"/>
      <c r="AM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>
        <v>0.16900000000000001</v>
      </c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>
        <v>0.24399999999999999</v>
      </c>
      <c r="BP521" s="5"/>
      <c r="BQ521" s="5"/>
      <c r="BR521"/>
      <c r="BS521"/>
      <c r="BU521" s="5"/>
      <c r="CH521" s="44"/>
    </row>
    <row r="522" spans="1:86" x14ac:dyDescent="0.2">
      <c r="A522" s="3" t="s">
        <v>19</v>
      </c>
      <c r="B522" s="39">
        <v>649</v>
      </c>
      <c r="C522" s="82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R522" s="1"/>
      <c r="S522" s="1"/>
      <c r="T522" s="1"/>
      <c r="U522" s="1"/>
      <c r="V522" s="1"/>
      <c r="W522" s="5"/>
      <c r="X522" s="1"/>
      <c r="Y522" s="5"/>
      <c r="Z522" s="1"/>
      <c r="AG522" s="5"/>
      <c r="AK522" s="5"/>
      <c r="AM522" s="5"/>
      <c r="AP522" s="5"/>
      <c r="AQ522" s="5"/>
      <c r="AR522" s="5"/>
      <c r="AS522" s="5"/>
      <c r="AU522" s="5"/>
      <c r="AV522" s="5"/>
      <c r="AW522" s="5">
        <v>2.7E-2</v>
      </c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>
        <v>3.5000000000000003E-2</v>
      </c>
      <c r="BR522"/>
      <c r="BS522"/>
      <c r="BU522" s="5"/>
      <c r="CH522" s="44"/>
    </row>
    <row r="523" spans="1:86" x14ac:dyDescent="0.2">
      <c r="A523" s="3" t="s">
        <v>19</v>
      </c>
      <c r="B523" s="39">
        <v>649</v>
      </c>
      <c r="C523" s="82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R523" s="1"/>
      <c r="S523" s="1"/>
      <c r="T523" s="1"/>
      <c r="U523" s="1"/>
      <c r="V523" s="1"/>
      <c r="W523" s="5"/>
      <c r="X523" s="1"/>
      <c r="Y523" s="5"/>
      <c r="Z523" s="1"/>
      <c r="AG523" s="5"/>
      <c r="AK523" s="5"/>
      <c r="AM523" s="5"/>
      <c r="AP523" s="5"/>
      <c r="AQ523" s="5"/>
      <c r="AR523" s="5"/>
      <c r="AS523" s="5"/>
      <c r="AU523" s="5"/>
      <c r="AV523" s="5"/>
      <c r="AW523" s="5">
        <v>2.5000000000000001E-2</v>
      </c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>
        <v>4.2999999999999997E-2</v>
      </c>
      <c r="BR523"/>
      <c r="BS523"/>
      <c r="BU523" s="5"/>
      <c r="CH523" s="44"/>
    </row>
    <row r="524" spans="1:86" x14ac:dyDescent="0.2">
      <c r="A524" s="3" t="s">
        <v>19</v>
      </c>
      <c r="B524" s="39">
        <v>650</v>
      </c>
      <c r="C524" s="82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R524" s="1"/>
      <c r="S524" s="1"/>
      <c r="T524" s="1"/>
      <c r="U524" s="1"/>
      <c r="V524" s="1"/>
      <c r="W524" s="5"/>
      <c r="X524" s="1"/>
      <c r="Y524" s="5"/>
      <c r="Z524" s="1"/>
      <c r="AG524" s="5"/>
      <c r="AK524" s="5"/>
      <c r="AM524" s="5"/>
      <c r="AP524" s="5"/>
      <c r="AQ524" s="5">
        <v>0.15</v>
      </c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>
        <v>0.23200000000000001</v>
      </c>
      <c r="BF524" s="5"/>
      <c r="BG524" s="5"/>
      <c r="BH524" s="5"/>
      <c r="BI524" s="5"/>
      <c r="BJ524" s="5"/>
      <c r="BK524" s="5">
        <v>0.309</v>
      </c>
      <c r="BL524" s="5"/>
      <c r="BM524" s="5">
        <v>0.313</v>
      </c>
      <c r="BN524" s="5"/>
      <c r="BO524" s="5">
        <v>0.32900000000000001</v>
      </c>
      <c r="BP524" s="5"/>
      <c r="BQ524" s="5">
        <v>0.35099999999999998</v>
      </c>
      <c r="BR524"/>
      <c r="BS524"/>
      <c r="BU524" s="5"/>
      <c r="CH524" s="44"/>
    </row>
    <row r="525" spans="1:86" x14ac:dyDescent="0.2">
      <c r="A525" s="3" t="s">
        <v>19</v>
      </c>
      <c r="B525" s="39">
        <v>651</v>
      </c>
      <c r="C525" s="82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R525" s="1"/>
      <c r="S525" s="1"/>
      <c r="T525" s="1"/>
      <c r="U525" s="1"/>
      <c r="V525" s="1"/>
      <c r="W525" s="5"/>
      <c r="X525" s="1"/>
      <c r="Y525" s="5"/>
      <c r="Z525" s="1"/>
      <c r="AG525" s="5"/>
      <c r="AK525" s="5"/>
      <c r="AM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>
        <v>0.27500000000000002</v>
      </c>
      <c r="BM525" s="5">
        <v>0.27800000000000002</v>
      </c>
      <c r="BO525" s="5">
        <v>0.311</v>
      </c>
      <c r="BP525"/>
      <c r="BQ525" s="5">
        <v>0.33300000000000002</v>
      </c>
      <c r="BR525"/>
      <c r="BS525" s="5">
        <v>0.32200000000000001</v>
      </c>
      <c r="BU525" s="5"/>
      <c r="CH525" s="44"/>
    </row>
    <row r="526" spans="1:86" x14ac:dyDescent="0.2">
      <c r="A526" s="3" t="s">
        <v>19</v>
      </c>
      <c r="B526" s="39">
        <v>651</v>
      </c>
      <c r="C526" s="82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R526" s="1"/>
      <c r="S526" s="1"/>
      <c r="T526" s="1"/>
      <c r="U526" s="1"/>
      <c r="V526" s="1"/>
      <c r="W526" s="5"/>
      <c r="X526" s="1"/>
      <c r="Y526" s="5"/>
      <c r="Z526" s="1"/>
      <c r="AG526" s="5"/>
      <c r="AK526" s="5"/>
      <c r="AM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>
        <v>0.33400000000000002</v>
      </c>
      <c r="BM526" s="5">
        <v>0.33300000000000002</v>
      </c>
      <c r="BO526" s="5">
        <v>0.33200000000000002</v>
      </c>
      <c r="BP526"/>
      <c r="BQ526" s="5">
        <v>0.35299999999999998</v>
      </c>
      <c r="BR526"/>
      <c r="BS526" s="5">
        <v>0.35499999999999998</v>
      </c>
      <c r="BU526" s="5"/>
      <c r="CH526" s="44"/>
    </row>
    <row r="527" spans="1:86" x14ac:dyDescent="0.2">
      <c r="A527" s="3" t="s">
        <v>19</v>
      </c>
      <c r="B527" s="39">
        <v>652</v>
      </c>
      <c r="C527" s="82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R527" s="1"/>
      <c r="S527" s="1"/>
      <c r="T527" s="1"/>
      <c r="U527" s="1"/>
      <c r="V527" s="1"/>
      <c r="W527" s="5"/>
      <c r="X527" s="1"/>
      <c r="Y527" s="5"/>
      <c r="Z527" s="1"/>
      <c r="AG527" s="5"/>
      <c r="AK527" s="5"/>
      <c r="AM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>
        <v>3.1E-2</v>
      </c>
      <c r="BG527" s="5"/>
      <c r="BH527" s="5"/>
      <c r="BI527" s="5"/>
      <c r="BJ527" s="5"/>
      <c r="BK527" s="5"/>
      <c r="BM527" s="5"/>
      <c r="BO527" s="5"/>
      <c r="BP527"/>
      <c r="BQ527" s="5"/>
      <c r="BR527" s="5">
        <v>6.9000000000000006E-2</v>
      </c>
      <c r="BS527" s="5"/>
      <c r="BU527" s="5"/>
      <c r="CH527" s="44"/>
    </row>
    <row r="528" spans="1:86" x14ac:dyDescent="0.2">
      <c r="A528" s="3" t="s">
        <v>19</v>
      </c>
      <c r="B528" s="39">
        <v>652</v>
      </c>
      <c r="C528" s="82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R528" s="1"/>
      <c r="S528" s="1"/>
      <c r="T528" s="1"/>
      <c r="U528" s="1"/>
      <c r="V528" s="1"/>
      <c r="W528" s="5"/>
      <c r="X528" s="1"/>
      <c r="Y528" s="5"/>
      <c r="Z528" s="1"/>
      <c r="AG528" s="5"/>
      <c r="AK528" s="5"/>
      <c r="AM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>
        <v>5.1999999999999998E-2</v>
      </c>
      <c r="BG528" s="5"/>
      <c r="BH528" s="5"/>
      <c r="BI528" s="5"/>
      <c r="BJ528" s="5"/>
      <c r="BK528" s="5"/>
      <c r="BM528" s="5"/>
      <c r="BO528" s="5"/>
      <c r="BP528"/>
      <c r="BQ528" s="5"/>
      <c r="BR528" s="5">
        <v>7.3999999999999996E-2</v>
      </c>
      <c r="BS528" s="5"/>
      <c r="BU528" s="5"/>
      <c r="CH528" s="44"/>
    </row>
    <row r="529" spans="1:86" x14ac:dyDescent="0.2">
      <c r="A529" s="3" t="s">
        <v>19</v>
      </c>
      <c r="B529" s="39">
        <v>653</v>
      </c>
      <c r="C529" s="82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R529" s="1"/>
      <c r="S529" s="1"/>
      <c r="T529" s="1"/>
      <c r="U529" s="1"/>
      <c r="V529" s="1"/>
      <c r="W529" s="5"/>
      <c r="X529" s="1"/>
      <c r="Y529" s="5">
        <v>0.13400000000000001</v>
      </c>
      <c r="Z529" s="1"/>
      <c r="AG529" s="5"/>
      <c r="AK529" s="5"/>
      <c r="AM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M529" s="5"/>
      <c r="BO529" s="5"/>
      <c r="BP529"/>
      <c r="BQ529" s="5">
        <v>0.35099999999999998</v>
      </c>
      <c r="BR529" s="5"/>
      <c r="BS529" s="5"/>
      <c r="BU529" s="5"/>
      <c r="CH529" s="44"/>
    </row>
    <row r="530" spans="1:86" x14ac:dyDescent="0.2">
      <c r="A530" s="3" t="s">
        <v>19</v>
      </c>
      <c r="B530" s="39">
        <v>654</v>
      </c>
      <c r="C530" s="82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R530" s="1"/>
      <c r="S530" s="1"/>
      <c r="T530" s="1"/>
      <c r="U530" s="1"/>
      <c r="V530" s="1"/>
      <c r="W530" s="5"/>
      <c r="X530" s="1"/>
      <c r="Y530" s="5"/>
      <c r="Z530" s="1"/>
      <c r="AG530" s="5"/>
      <c r="AK530" s="5"/>
      <c r="AM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>
        <v>2.52E-2</v>
      </c>
      <c r="BK530" s="5">
        <v>2.24E-2</v>
      </c>
      <c r="BL530" s="5">
        <v>2.35E-2</v>
      </c>
      <c r="BM530" s="5">
        <v>2.01E-2</v>
      </c>
      <c r="BN530" s="5">
        <v>2.18E-2</v>
      </c>
      <c r="BO530" s="5">
        <v>2.1000000000000001E-2</v>
      </c>
      <c r="BP530" s="5">
        <v>1.9199999999999998E-2</v>
      </c>
      <c r="BQ530" s="5">
        <v>1.7600000000000001E-2</v>
      </c>
      <c r="BR530" s="5">
        <v>1.7100000000000001E-2</v>
      </c>
      <c r="BS530" s="5"/>
      <c r="BU530" s="5"/>
      <c r="CH530" s="44"/>
    </row>
    <row r="531" spans="1:86" x14ac:dyDescent="0.2">
      <c r="A531" s="3" t="s">
        <v>19</v>
      </c>
      <c r="B531" s="39">
        <v>654</v>
      </c>
      <c r="C531" s="82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R531" s="1"/>
      <c r="S531" s="1"/>
      <c r="T531" s="1"/>
      <c r="U531" s="1"/>
      <c r="V531" s="1"/>
      <c r="W531" s="5"/>
      <c r="X531" s="1"/>
      <c r="Y531" s="5"/>
      <c r="Z531" s="1"/>
      <c r="AG531" s="5"/>
      <c r="AK531" s="5"/>
      <c r="AM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>
        <v>4.53E-2</v>
      </c>
      <c r="BK531" s="5">
        <v>4.02E-2</v>
      </c>
      <c r="BL531" s="5">
        <v>3.9800000000000002E-2</v>
      </c>
      <c r="BM531" s="5">
        <v>3.4599999999999999E-2</v>
      </c>
      <c r="BN531" s="5">
        <v>2.9899999999999999E-2</v>
      </c>
      <c r="BO531" s="5">
        <v>3.2099999999999997E-2</v>
      </c>
      <c r="BP531" s="5">
        <v>3.0800000000000001E-2</v>
      </c>
      <c r="BQ531" s="5">
        <v>2.7900000000000001E-2</v>
      </c>
      <c r="BR531" s="5">
        <v>2.8799999999999999E-2</v>
      </c>
      <c r="BS531" s="5"/>
      <c r="BU531" s="5"/>
      <c r="CH531" s="44"/>
    </row>
    <row r="532" spans="1:86" x14ac:dyDescent="0.2">
      <c r="A532" s="3" t="s">
        <v>19</v>
      </c>
      <c r="B532" s="39">
        <v>655</v>
      </c>
      <c r="C532" s="82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R532" s="1"/>
      <c r="S532" s="1"/>
      <c r="T532" s="1"/>
      <c r="U532" s="1"/>
      <c r="V532" s="1"/>
      <c r="W532" s="5"/>
      <c r="X532" s="1"/>
      <c r="Y532" s="5"/>
      <c r="Z532" s="1"/>
      <c r="AG532" s="5"/>
      <c r="AK532" s="5"/>
      <c r="AM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>
        <v>0.13</v>
      </c>
      <c r="BJ532" s="5"/>
      <c r="BK532" s="5"/>
      <c r="BL532" s="5"/>
      <c r="BM532" s="5"/>
      <c r="BN532" s="5"/>
      <c r="BO532" s="5"/>
      <c r="BP532" s="5">
        <v>0.17</v>
      </c>
      <c r="BQ532" s="5"/>
      <c r="BR532" s="5"/>
      <c r="BS532" s="5"/>
      <c r="BU532" s="5"/>
      <c r="CH532" s="44"/>
    </row>
    <row r="533" spans="1:86" x14ac:dyDescent="0.2">
      <c r="A533" s="3" t="s">
        <v>19</v>
      </c>
      <c r="B533" s="39">
        <v>656</v>
      </c>
      <c r="C533" s="82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R533" s="1"/>
      <c r="S533" s="1"/>
      <c r="T533" s="1"/>
      <c r="U533" s="1"/>
      <c r="V533" s="1"/>
      <c r="W533" s="5"/>
      <c r="X533" s="1"/>
      <c r="Y533" s="5"/>
      <c r="Z533" s="1"/>
      <c r="AG533" s="5"/>
      <c r="AK533" s="5"/>
      <c r="AM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>
        <v>9.8000000000000004E-2</v>
      </c>
      <c r="BR533" s="5"/>
      <c r="BS533" s="5"/>
      <c r="BT533" s="5">
        <v>0.11700000000000001</v>
      </c>
      <c r="BU533" s="5"/>
      <c r="CH533" s="44"/>
    </row>
    <row r="534" spans="1:86" x14ac:dyDescent="0.2">
      <c r="A534" s="3" t="s">
        <v>19</v>
      </c>
      <c r="B534" s="39">
        <v>657</v>
      </c>
      <c r="C534" s="82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R534" s="1"/>
      <c r="S534" s="1"/>
      <c r="T534" s="1"/>
      <c r="U534" s="1"/>
      <c r="V534" s="1"/>
      <c r="W534" s="5"/>
      <c r="X534" s="1"/>
      <c r="Y534" s="5"/>
      <c r="Z534" s="1"/>
      <c r="AG534" s="5"/>
      <c r="AK534" s="5"/>
      <c r="AM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>
        <v>2E-3</v>
      </c>
      <c r="BF534" s="5"/>
      <c r="BG534" s="5"/>
      <c r="BH534" s="5"/>
      <c r="BI534" s="5"/>
      <c r="BJ534" s="5"/>
      <c r="BK534" s="5"/>
      <c r="BL534" s="5"/>
      <c r="BM534" s="5"/>
      <c r="BN534" s="5"/>
      <c r="BO534" s="5">
        <v>3.3000000000000002E-2</v>
      </c>
      <c r="BP534" s="5"/>
      <c r="BQ534" s="5"/>
      <c r="BR534" s="5"/>
      <c r="BS534" s="5"/>
      <c r="BT534" s="5"/>
      <c r="BU534" s="5"/>
      <c r="CH534" s="44"/>
    </row>
    <row r="535" spans="1:86" x14ac:dyDescent="0.2">
      <c r="A535" s="3" t="s">
        <v>19</v>
      </c>
      <c r="B535" s="39">
        <v>658</v>
      </c>
      <c r="C535" s="82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R535" s="1"/>
      <c r="S535" s="1"/>
      <c r="T535" s="1"/>
      <c r="U535" s="1"/>
      <c r="V535" s="1"/>
      <c r="W535" s="5"/>
      <c r="X535" s="1"/>
      <c r="Y535" s="5"/>
      <c r="Z535" s="1"/>
      <c r="AG535" s="5"/>
      <c r="AK535" s="5"/>
      <c r="AM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>
        <v>0.109</v>
      </c>
      <c r="BL535" s="5"/>
      <c r="BM535" s="5"/>
      <c r="BN535" s="5"/>
      <c r="BO535" s="5">
        <v>0.1198</v>
      </c>
      <c r="BP535" s="5"/>
      <c r="BQ535" s="5"/>
      <c r="BR535" s="5"/>
      <c r="BS535" s="5">
        <v>0.10630000000000001</v>
      </c>
      <c r="BT535" s="5"/>
      <c r="BU535" s="5"/>
      <c r="CH535" s="44"/>
    </row>
    <row r="536" spans="1:86" x14ac:dyDescent="0.2">
      <c r="A536" s="3" t="s">
        <v>19</v>
      </c>
      <c r="B536" s="39">
        <v>658</v>
      </c>
      <c r="C536" s="82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R536" s="1"/>
      <c r="S536" s="1"/>
      <c r="T536" s="1"/>
      <c r="U536" s="1"/>
      <c r="V536" s="1"/>
      <c r="W536" s="5"/>
      <c r="X536" s="1"/>
      <c r="Y536" s="5"/>
      <c r="Z536" s="1"/>
      <c r="AG536" s="5"/>
      <c r="AK536" s="5"/>
      <c r="AM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>
        <v>0.192</v>
      </c>
      <c r="BL536" s="5"/>
      <c r="BM536" s="5"/>
      <c r="BN536" s="5"/>
      <c r="BO536" s="5">
        <v>0.2122</v>
      </c>
      <c r="BP536" s="5"/>
      <c r="BQ536" s="5"/>
      <c r="BR536" s="5"/>
      <c r="BS536" s="5">
        <v>0.19900000000000001</v>
      </c>
      <c r="BT536" s="5"/>
      <c r="BU536" s="5"/>
      <c r="CH536" s="44"/>
    </row>
    <row r="537" spans="1:86" x14ac:dyDescent="0.2">
      <c r="A537" s="3" t="s">
        <v>19</v>
      </c>
      <c r="B537" s="39">
        <v>658</v>
      </c>
      <c r="C537" s="82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R537" s="1"/>
      <c r="S537" s="1"/>
      <c r="T537" s="1"/>
      <c r="U537" s="1"/>
      <c r="V537" s="1"/>
      <c r="W537" s="5"/>
      <c r="X537" s="1"/>
      <c r="Y537" s="5"/>
      <c r="Z537" s="1"/>
      <c r="AG537" s="5"/>
      <c r="AK537" s="5"/>
      <c r="AM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>
        <v>0.154</v>
      </c>
      <c r="BL537" s="5"/>
      <c r="BM537" s="5"/>
      <c r="BN537" s="5"/>
      <c r="BO537" s="5">
        <v>0.19639999999999999</v>
      </c>
      <c r="BP537" s="5"/>
      <c r="BQ537" s="5"/>
      <c r="BR537" s="5"/>
      <c r="BS537" s="5">
        <v>0.21249999999999999</v>
      </c>
      <c r="BT537" s="5"/>
      <c r="BU537" s="5"/>
      <c r="CH537" s="44"/>
    </row>
    <row r="538" spans="1:86" x14ac:dyDescent="0.2">
      <c r="A538" s="3" t="s">
        <v>19</v>
      </c>
      <c r="B538" s="39">
        <v>658</v>
      </c>
      <c r="C538" s="82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R538" s="1"/>
      <c r="S538" s="1"/>
      <c r="T538" s="1"/>
      <c r="U538" s="1"/>
      <c r="V538" s="1"/>
      <c r="W538" s="5"/>
      <c r="X538" s="1"/>
      <c r="Y538" s="5"/>
      <c r="Z538" s="1"/>
      <c r="AG538" s="5"/>
      <c r="AK538" s="5"/>
      <c r="AM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>
        <v>0.13</v>
      </c>
      <c r="BL538" s="5"/>
      <c r="BM538" s="5"/>
      <c r="BN538" s="5"/>
      <c r="BO538" s="5">
        <v>0.13139999999999999</v>
      </c>
      <c r="BP538" s="5"/>
      <c r="BQ538" s="5"/>
      <c r="BR538" s="5"/>
      <c r="BS538" s="5">
        <v>0.11260000000000001</v>
      </c>
      <c r="BT538" s="5"/>
      <c r="BU538" s="5"/>
      <c r="CH538" s="44"/>
    </row>
    <row r="539" spans="1:86" x14ac:dyDescent="0.2">
      <c r="A539" s="3" t="s">
        <v>19</v>
      </c>
      <c r="B539" s="39">
        <v>658</v>
      </c>
      <c r="C539" s="82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R539" s="1"/>
      <c r="S539" s="1"/>
      <c r="T539" s="1"/>
      <c r="U539" s="1"/>
      <c r="V539" s="1"/>
      <c r="W539" s="5"/>
      <c r="X539" s="1"/>
      <c r="Y539" s="5"/>
      <c r="Z539" s="1"/>
      <c r="AG539" s="5"/>
      <c r="AK539" s="5"/>
      <c r="AM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>
        <v>0.188</v>
      </c>
      <c r="BL539" s="5"/>
      <c r="BM539" s="5"/>
      <c r="BN539" s="5"/>
      <c r="BO539" s="5">
        <v>0.18509999999999999</v>
      </c>
      <c r="BP539" s="5"/>
      <c r="BQ539" s="5"/>
      <c r="BR539" s="5"/>
      <c r="BS539" s="5">
        <v>0.1857</v>
      </c>
      <c r="BT539" s="5"/>
      <c r="BU539" s="5"/>
      <c r="CH539" s="44"/>
    </row>
    <row r="540" spans="1:86" x14ac:dyDescent="0.2">
      <c r="A540" s="3" t="s">
        <v>19</v>
      </c>
      <c r="B540" s="39">
        <v>658</v>
      </c>
      <c r="C540" s="82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R540" s="1"/>
      <c r="S540" s="1"/>
      <c r="T540" s="1"/>
      <c r="U540" s="1"/>
      <c r="V540" s="1"/>
      <c r="W540" s="5"/>
      <c r="X540" s="1"/>
      <c r="Y540" s="5"/>
      <c r="Z540" s="1"/>
      <c r="AG540" s="5"/>
      <c r="AK540" s="5"/>
      <c r="AM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>
        <v>0.17399999999999999</v>
      </c>
      <c r="BL540" s="5"/>
      <c r="BM540" s="5"/>
      <c r="BN540" s="5"/>
      <c r="BO540" s="5">
        <v>0.2054</v>
      </c>
      <c r="BP540" s="5"/>
      <c r="BQ540" s="5"/>
      <c r="BR540" s="5"/>
      <c r="BS540" s="5">
        <v>0.2087</v>
      </c>
      <c r="BT540" s="5"/>
      <c r="BU540" s="5"/>
      <c r="CH540" s="44"/>
    </row>
    <row r="541" spans="1:86" x14ac:dyDescent="0.2">
      <c r="A541" s="3" t="s">
        <v>19</v>
      </c>
      <c r="B541" s="39">
        <v>659</v>
      </c>
      <c r="C541" s="82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R541" s="1"/>
      <c r="S541" s="1"/>
      <c r="T541" s="1"/>
      <c r="U541" s="1"/>
      <c r="V541" s="1"/>
      <c r="W541" s="5"/>
      <c r="X541" s="1"/>
      <c r="Y541" s="5"/>
      <c r="Z541" s="1"/>
      <c r="AG541" s="5"/>
      <c r="AK541" s="5"/>
      <c r="AM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>
        <v>0.14299999999999999</v>
      </c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>
        <v>0.17799999999999999</v>
      </c>
      <c r="BS541" s="5"/>
      <c r="BT541" s="5"/>
      <c r="BU541" s="5"/>
      <c r="CH541" s="44"/>
    </row>
    <row r="542" spans="1:86" x14ac:dyDescent="0.2">
      <c r="A542" s="3" t="s">
        <v>19</v>
      </c>
      <c r="B542" s="39">
        <v>660</v>
      </c>
      <c r="C542" s="82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R542" s="1"/>
      <c r="S542" s="1"/>
      <c r="T542" s="1"/>
      <c r="U542" s="1"/>
      <c r="V542" s="1"/>
      <c r="W542" s="5"/>
      <c r="X542" s="1"/>
      <c r="Y542" s="5"/>
      <c r="Z542" s="1"/>
      <c r="AG542" s="5"/>
      <c r="AH542" s="5">
        <v>1.04E-2</v>
      </c>
      <c r="AK542" s="5"/>
      <c r="AM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>
        <v>7.0000000000000007E-2</v>
      </c>
      <c r="BU542" s="5"/>
      <c r="CH542" s="44"/>
    </row>
    <row r="543" spans="1:86" x14ac:dyDescent="0.2">
      <c r="A543" s="3" t="s">
        <v>19</v>
      </c>
      <c r="B543" s="39">
        <v>660</v>
      </c>
      <c r="C543" s="82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R543" s="1"/>
      <c r="S543" s="1"/>
      <c r="T543" s="1"/>
      <c r="U543" s="1"/>
      <c r="V543" s="1"/>
      <c r="W543" s="5"/>
      <c r="X543" s="1"/>
      <c r="Y543" s="5"/>
      <c r="Z543" s="1"/>
      <c r="AG543" s="5"/>
      <c r="AH543" s="5">
        <v>2E-3</v>
      </c>
      <c r="AK543" s="5"/>
      <c r="AM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>
        <v>3.5999999999999997E-2</v>
      </c>
      <c r="BU543" s="5"/>
      <c r="CH543" s="44"/>
    </row>
    <row r="544" spans="1:86" x14ac:dyDescent="0.2">
      <c r="A544" s="3" t="s">
        <v>19</v>
      </c>
      <c r="B544" s="39">
        <v>661</v>
      </c>
      <c r="C544" s="82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R544" s="1"/>
      <c r="S544" s="1"/>
      <c r="T544" s="1"/>
      <c r="U544" s="1"/>
      <c r="V544" s="1"/>
      <c r="W544" s="5"/>
      <c r="X544" s="1"/>
      <c r="Y544" s="5"/>
      <c r="Z544" s="1"/>
      <c r="AG544" s="5"/>
      <c r="AH544" s="5"/>
      <c r="AK544" s="5"/>
      <c r="AM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>
        <v>0.108</v>
      </c>
      <c r="BR544" s="5"/>
      <c r="BS544" s="5"/>
      <c r="BT544" s="5">
        <v>0.13500000000000001</v>
      </c>
      <c r="BU544" s="5"/>
      <c r="CH544" s="44"/>
    </row>
    <row r="545" spans="1:86" x14ac:dyDescent="0.2">
      <c r="A545" s="3" t="s">
        <v>19</v>
      </c>
      <c r="B545" s="39">
        <v>662</v>
      </c>
      <c r="C545" s="82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R545" s="1"/>
      <c r="S545" s="1"/>
      <c r="T545" s="1"/>
      <c r="U545" s="1"/>
      <c r="V545" s="1"/>
      <c r="W545" s="5"/>
      <c r="X545" s="1"/>
      <c r="Y545" s="5"/>
      <c r="Z545" s="1"/>
      <c r="AG545" s="5"/>
      <c r="AH545" s="5"/>
      <c r="AK545" s="5"/>
      <c r="AM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>
        <v>2.9000000000000001E-2</v>
      </c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>
        <v>0.114</v>
      </c>
      <c r="BU545" s="5"/>
      <c r="CH545" s="44"/>
    </row>
    <row r="546" spans="1:86" x14ac:dyDescent="0.2">
      <c r="A546" s="3" t="s">
        <v>19</v>
      </c>
      <c r="B546" s="39">
        <v>662</v>
      </c>
      <c r="C546" s="82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R546" s="1"/>
      <c r="S546" s="1"/>
      <c r="T546" s="1"/>
      <c r="U546" s="1"/>
      <c r="V546" s="1"/>
      <c r="W546" s="5"/>
      <c r="X546" s="1"/>
      <c r="Y546" s="5"/>
      <c r="Z546" s="1"/>
      <c r="AG546" s="5"/>
      <c r="AH546" s="5"/>
      <c r="AK546" s="5"/>
      <c r="AM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>
        <v>0.05</v>
      </c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>
        <v>0.10100000000000001</v>
      </c>
      <c r="BU546" s="5"/>
      <c r="CH546" s="44"/>
    </row>
    <row r="547" spans="1:86" x14ac:dyDescent="0.2">
      <c r="A547" s="3" t="s">
        <v>19</v>
      </c>
      <c r="B547" s="39">
        <v>663</v>
      </c>
      <c r="C547" s="82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R547" s="1"/>
      <c r="S547" s="1"/>
      <c r="T547" s="1"/>
      <c r="U547" s="1"/>
      <c r="V547" s="1"/>
      <c r="W547" s="5"/>
      <c r="X547" s="1"/>
      <c r="Y547" s="5"/>
      <c r="Z547" s="1"/>
      <c r="AG547" s="5"/>
      <c r="AH547" s="5"/>
      <c r="AK547" s="5"/>
      <c r="AM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>
        <v>7.2999999999999995E-2</v>
      </c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>
        <v>0.109</v>
      </c>
      <c r="BU547" s="5"/>
      <c r="CH547" s="44"/>
    </row>
    <row r="548" spans="1:86" x14ac:dyDescent="0.2">
      <c r="A548" s="3" t="s">
        <v>19</v>
      </c>
      <c r="B548" s="39">
        <v>663</v>
      </c>
      <c r="C548" s="82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R548" s="1"/>
      <c r="S548" s="1"/>
      <c r="T548" s="1"/>
      <c r="U548" s="1"/>
      <c r="V548" s="1"/>
      <c r="W548" s="5"/>
      <c r="X548" s="1"/>
      <c r="Y548" s="5"/>
      <c r="Z548" s="1"/>
      <c r="AG548" s="5"/>
      <c r="AH548" s="5"/>
      <c r="AK548" s="5"/>
      <c r="AM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>
        <v>0.17399999999999999</v>
      </c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>
        <v>0.28199999999999997</v>
      </c>
      <c r="BU548" s="5"/>
      <c r="CH548" s="44"/>
    </row>
    <row r="549" spans="1:86" x14ac:dyDescent="0.2">
      <c r="A549" s="3" t="s">
        <v>19</v>
      </c>
      <c r="B549" s="39">
        <v>664</v>
      </c>
      <c r="C549" s="82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R549" s="1"/>
      <c r="S549" s="1"/>
      <c r="T549" s="1"/>
      <c r="U549" s="1"/>
      <c r="V549" s="1"/>
      <c r="W549" s="5"/>
      <c r="X549" s="1"/>
      <c r="Y549" s="5"/>
      <c r="Z549" s="1"/>
      <c r="AG549" s="5"/>
      <c r="AH549" s="5"/>
      <c r="AK549" s="5"/>
      <c r="AM549" s="5"/>
      <c r="AP549" s="5"/>
      <c r="AQ549" s="5"/>
      <c r="AR549" s="5"/>
      <c r="AS549" s="5"/>
      <c r="AU549" s="5"/>
      <c r="AV549" s="5">
        <v>2E-3</v>
      </c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>
        <v>8.1000000000000003E-2</v>
      </c>
      <c r="CH549" s="44"/>
    </row>
    <row r="550" spans="1:86" x14ac:dyDescent="0.2">
      <c r="A550" s="3" t="s">
        <v>19</v>
      </c>
      <c r="B550" s="39">
        <v>665</v>
      </c>
      <c r="C550" s="82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R550" s="1"/>
      <c r="S550" s="1"/>
      <c r="T550" s="1"/>
      <c r="U550" s="1"/>
      <c r="V550" s="1"/>
      <c r="W550" s="5"/>
      <c r="X550" s="1"/>
      <c r="Y550" s="5"/>
      <c r="Z550" s="1"/>
      <c r="AG550" s="5"/>
      <c r="AH550" s="5"/>
      <c r="AK550" s="5"/>
      <c r="AM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>
        <v>0.26</v>
      </c>
      <c r="BJ550" s="5"/>
      <c r="BK550" s="5"/>
      <c r="BL550" s="5">
        <v>0.29199999999999998</v>
      </c>
      <c r="BM550" s="5"/>
      <c r="BN550" s="5"/>
      <c r="BO550" s="5"/>
      <c r="BP550" s="5">
        <v>0.313</v>
      </c>
      <c r="BQ550" s="5"/>
      <c r="BR550" s="5"/>
      <c r="BS550" s="5"/>
      <c r="BT550" s="5">
        <v>0.311</v>
      </c>
      <c r="BU550" s="5"/>
      <c r="CH550" s="44"/>
    </row>
    <row r="551" spans="1:86" x14ac:dyDescent="0.2">
      <c r="A551" s="3" t="s">
        <v>19</v>
      </c>
      <c r="B551" s="39">
        <v>666</v>
      </c>
      <c r="C551" s="82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R551" s="1"/>
      <c r="S551" s="1"/>
      <c r="T551" s="1"/>
      <c r="U551" s="1"/>
      <c r="V551" s="1"/>
      <c r="W551" s="5"/>
      <c r="X551" s="1"/>
      <c r="Y551" s="5"/>
      <c r="Z551" s="1"/>
      <c r="AG551" s="5"/>
      <c r="AH551" s="5"/>
      <c r="AK551" s="5"/>
      <c r="AM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>
        <v>5.8999999999999997E-2</v>
      </c>
      <c r="BL551" s="5"/>
      <c r="BM551" s="5"/>
      <c r="BN551" s="5"/>
      <c r="BO551" s="5"/>
      <c r="BP551" s="5"/>
      <c r="BQ551" s="5"/>
      <c r="BR551" s="5"/>
      <c r="BS551" s="5"/>
      <c r="BT551" s="5"/>
      <c r="BU551" s="5">
        <v>8.1000000000000003E-2</v>
      </c>
      <c r="CH551" s="44"/>
    </row>
    <row r="552" spans="1:86" x14ac:dyDescent="0.2">
      <c r="A552" s="3" t="s">
        <v>19</v>
      </c>
      <c r="B552" s="39">
        <v>667</v>
      </c>
      <c r="C552" s="82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R552" s="1"/>
      <c r="S552" s="1"/>
      <c r="T552" s="1"/>
      <c r="U552" s="1"/>
      <c r="V552" s="1"/>
      <c r="W552" s="5"/>
      <c r="X552" s="1"/>
      <c r="Y552" s="5"/>
      <c r="Z552" s="1"/>
      <c r="AG552" s="5"/>
      <c r="AH552" s="5"/>
      <c r="AK552" s="5"/>
      <c r="AM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>
        <v>0.11600000000000001</v>
      </c>
      <c r="BR552" s="5"/>
      <c r="BS552" s="5"/>
      <c r="BT552" s="5"/>
      <c r="BU552" s="5"/>
      <c r="BW552" s="5">
        <v>0.17399999999999999</v>
      </c>
      <c r="CH552" s="44"/>
    </row>
    <row r="553" spans="1:86" x14ac:dyDescent="0.2">
      <c r="A553" s="3" t="s">
        <v>19</v>
      </c>
      <c r="B553" s="39">
        <v>668</v>
      </c>
      <c r="C553" s="82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R553" s="1"/>
      <c r="S553" s="1"/>
      <c r="T553" s="1"/>
      <c r="U553" s="1"/>
      <c r="V553" s="1"/>
      <c r="W553" s="5"/>
      <c r="X553" s="1"/>
      <c r="Y553" s="5"/>
      <c r="Z553" s="1"/>
      <c r="AG553" s="5"/>
      <c r="AH553" s="5"/>
      <c r="AK553" s="5"/>
      <c r="AM553" s="5"/>
      <c r="AP553" s="5"/>
      <c r="AQ553" s="5"/>
      <c r="AR553" s="5"/>
      <c r="AS553" s="5"/>
      <c r="AU553" s="5"/>
      <c r="AV553" s="5"/>
      <c r="AW553" s="5"/>
      <c r="AX553" s="5"/>
      <c r="AY553" s="5">
        <v>9.2999999999999999E-2</v>
      </c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W553" s="5">
        <v>0.33700000000000002</v>
      </c>
      <c r="CH553" s="44"/>
    </row>
    <row r="554" spans="1:86" x14ac:dyDescent="0.2">
      <c r="A554" s="3" t="s">
        <v>19</v>
      </c>
      <c r="B554" s="39">
        <v>669</v>
      </c>
      <c r="C554" s="82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R554" s="1"/>
      <c r="S554" s="1"/>
      <c r="T554" s="1"/>
      <c r="U554" s="1"/>
      <c r="V554" s="1"/>
      <c r="W554" s="5"/>
      <c r="X554" s="1"/>
      <c r="Y554" s="5"/>
      <c r="Z554" s="1"/>
      <c r="AG554" s="5"/>
      <c r="AH554" s="5"/>
      <c r="AK554" s="5"/>
      <c r="AM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>
        <v>0.26900000000000002</v>
      </c>
      <c r="BJ554" s="5"/>
      <c r="BK554" s="5"/>
      <c r="BL554" s="5">
        <v>0.29199999999999998</v>
      </c>
      <c r="BM554" s="5"/>
      <c r="BN554" s="5"/>
      <c r="BO554" s="5"/>
      <c r="BP554" s="5">
        <v>0.32900000000000001</v>
      </c>
      <c r="BQ554" s="5"/>
      <c r="BR554" s="5">
        <v>0.32500000000000001</v>
      </c>
      <c r="BS554" s="5">
        <v>0.32</v>
      </c>
      <c r="BT554" s="5">
        <v>0.32600000000000001</v>
      </c>
      <c r="BU554" s="5">
        <v>0.32</v>
      </c>
      <c r="BV554" s="5">
        <v>0.32</v>
      </c>
      <c r="BW554" s="5"/>
      <c r="CH554" s="44"/>
    </row>
    <row r="555" spans="1:86" x14ac:dyDescent="0.2">
      <c r="A555" s="3" t="s">
        <v>19</v>
      </c>
      <c r="B555" s="39">
        <v>670</v>
      </c>
      <c r="C555" s="82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R555" s="1"/>
      <c r="S555" s="1"/>
      <c r="T555" s="1"/>
      <c r="U555" s="1"/>
      <c r="V555" s="1"/>
      <c r="W555" s="5"/>
      <c r="X555" s="1"/>
      <c r="Y555" s="5"/>
      <c r="Z555" s="1"/>
      <c r="AG555" s="5"/>
      <c r="AH555" s="5"/>
      <c r="AK555" s="5"/>
      <c r="AM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>
        <v>0.17100000000000001</v>
      </c>
      <c r="BP555" s="5"/>
      <c r="BQ555" s="5">
        <v>0.154</v>
      </c>
      <c r="BR555" s="5"/>
      <c r="BS555" s="5">
        <v>0.16800000000000001</v>
      </c>
      <c r="BT555" s="5"/>
      <c r="BU555" s="5">
        <v>0.16900000000000001</v>
      </c>
      <c r="BV555" s="5"/>
      <c r="BW555" s="5">
        <v>0.16900000000000001</v>
      </c>
      <c r="CH555" s="44"/>
    </row>
    <row r="556" spans="1:86" x14ac:dyDescent="0.2">
      <c r="A556" s="3" t="s">
        <v>19</v>
      </c>
      <c r="B556" s="39">
        <v>670</v>
      </c>
      <c r="C556" s="82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R556" s="1"/>
      <c r="S556" s="1"/>
      <c r="T556" s="1"/>
      <c r="U556" s="1"/>
      <c r="V556" s="1"/>
      <c r="W556" s="5"/>
      <c r="X556" s="1"/>
      <c r="Y556" s="5"/>
      <c r="Z556" s="1"/>
      <c r="AG556" s="5"/>
      <c r="AH556" s="5"/>
      <c r="AK556" s="5"/>
      <c r="AM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>
        <v>0.32200000000000001</v>
      </c>
      <c r="BP556" s="5"/>
      <c r="BQ556" s="5">
        <v>0.34300000000000003</v>
      </c>
      <c r="BR556" s="5"/>
      <c r="BS556" s="5">
        <v>0.33700000000000002</v>
      </c>
      <c r="BT556" s="5"/>
      <c r="BU556" s="5">
        <v>0.35699999999999998</v>
      </c>
      <c r="BV556" s="5"/>
      <c r="BW556" s="5">
        <v>0.34899999999999998</v>
      </c>
      <c r="CH556" s="44"/>
    </row>
    <row r="557" spans="1:86" x14ac:dyDescent="0.2">
      <c r="A557" s="3" t="s">
        <v>19</v>
      </c>
      <c r="B557" s="39">
        <v>671</v>
      </c>
      <c r="C557" s="82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R557" s="1"/>
      <c r="S557" s="1"/>
      <c r="T557" s="1"/>
      <c r="U557" s="1"/>
      <c r="V557" s="1"/>
      <c r="W557" s="5"/>
      <c r="X557" s="1"/>
      <c r="Y557" s="5"/>
      <c r="Z557" s="1"/>
      <c r="AG557" s="5"/>
      <c r="AH557" s="5"/>
      <c r="AK557" s="5"/>
      <c r="AM557" s="5"/>
      <c r="AP557" s="5"/>
      <c r="AQ557" s="5"/>
      <c r="AR557" s="5"/>
      <c r="AS557" s="5"/>
      <c r="AU557" s="5"/>
      <c r="AV557" s="5">
        <v>6.0999999999999999E-2</v>
      </c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>
        <v>0.183</v>
      </c>
      <c r="BW557" s="5"/>
      <c r="CH557" s="44"/>
    </row>
    <row r="558" spans="1:86" x14ac:dyDescent="0.2">
      <c r="A558" s="3" t="s">
        <v>19</v>
      </c>
      <c r="B558" s="39">
        <v>672</v>
      </c>
      <c r="C558" s="82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R558" s="1"/>
      <c r="S558" s="1"/>
      <c r="T558" s="1"/>
      <c r="U558" s="1"/>
      <c r="V558" s="1"/>
      <c r="W558" s="5"/>
      <c r="X558" s="1"/>
      <c r="Y558" s="5"/>
      <c r="Z558" s="1"/>
      <c r="AG558" s="5"/>
      <c r="AH558" s="5"/>
      <c r="AK558" s="5"/>
      <c r="AM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>
        <v>0.14499999999999999</v>
      </c>
      <c r="BM558" s="5">
        <v>0.152</v>
      </c>
      <c r="BO558" s="5">
        <v>0.17299999999999999</v>
      </c>
      <c r="BP558"/>
      <c r="BQ558" s="5">
        <v>0.159</v>
      </c>
      <c r="BR558"/>
      <c r="BS558" s="5">
        <v>0.17299999999999999</v>
      </c>
      <c r="BU558" s="5">
        <v>0.17</v>
      </c>
      <c r="BW558" s="5">
        <v>0.17299999999999999</v>
      </c>
      <c r="CH558" s="44"/>
    </row>
    <row r="559" spans="1:86" x14ac:dyDescent="0.2">
      <c r="A559" s="3" t="s">
        <v>19</v>
      </c>
      <c r="B559" s="39">
        <v>673</v>
      </c>
      <c r="C559" s="82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R559" s="1"/>
      <c r="S559" s="1"/>
      <c r="T559" s="1"/>
      <c r="U559" s="1"/>
      <c r="V559" s="1"/>
      <c r="W559" s="5"/>
      <c r="X559" s="1"/>
      <c r="Y559" s="5"/>
      <c r="Z559" s="1"/>
      <c r="AG559" s="5"/>
      <c r="AH559" s="5"/>
      <c r="AK559" s="5"/>
      <c r="AM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M559" s="5"/>
      <c r="BO559" s="5"/>
      <c r="BP559"/>
      <c r="BQ559" s="5">
        <v>1.7000000000000001E-2</v>
      </c>
      <c r="BR559" s="5">
        <v>1.6E-2</v>
      </c>
      <c r="BS559" s="5">
        <v>1.7999999999999999E-2</v>
      </c>
      <c r="BT559" s="5">
        <v>1.9E-2</v>
      </c>
      <c r="BU559" s="5">
        <v>0.02</v>
      </c>
      <c r="BV559" s="5">
        <v>1.7999999999999999E-2</v>
      </c>
      <c r="BW559" s="5">
        <v>1.7000000000000001E-2</v>
      </c>
      <c r="BX559" s="5">
        <v>1.7000000000000001E-2</v>
      </c>
      <c r="BY559" s="5">
        <v>1.7999999999999999E-2</v>
      </c>
      <c r="CH559" s="44"/>
    </row>
    <row r="560" spans="1:86" x14ac:dyDescent="0.2">
      <c r="A560" s="3" t="s">
        <v>19</v>
      </c>
      <c r="B560" s="39">
        <v>673</v>
      </c>
      <c r="C560" s="82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R560" s="1"/>
      <c r="S560" s="1"/>
      <c r="T560" s="1"/>
      <c r="U560" s="1"/>
      <c r="V560" s="1"/>
      <c r="W560" s="5"/>
      <c r="X560" s="1"/>
      <c r="Y560" s="5"/>
      <c r="Z560" s="1"/>
      <c r="AG560" s="5"/>
      <c r="AH560" s="5"/>
      <c r="AK560" s="5"/>
      <c r="AM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M560" s="5"/>
      <c r="BO560" s="5"/>
      <c r="BP560"/>
      <c r="BQ560" s="5">
        <v>8.7999999999999995E-2</v>
      </c>
      <c r="BR560" s="5">
        <v>8.5999999999999993E-2</v>
      </c>
      <c r="BS560" s="5">
        <v>9.0999999999999998E-2</v>
      </c>
      <c r="BT560" s="5">
        <v>9.4E-2</v>
      </c>
      <c r="BU560" s="5">
        <v>0.10100000000000001</v>
      </c>
      <c r="BV560" s="5">
        <v>0.10100000000000001</v>
      </c>
      <c r="BW560" s="5">
        <v>0.10199999999999999</v>
      </c>
      <c r="BX560" s="5">
        <v>0.107</v>
      </c>
      <c r="BY560" s="5">
        <v>0.10100000000000001</v>
      </c>
      <c r="CH560" s="44"/>
    </row>
    <row r="561" spans="1:86" x14ac:dyDescent="0.2">
      <c r="A561" s="3" t="s">
        <v>19</v>
      </c>
      <c r="B561" s="39">
        <v>674</v>
      </c>
      <c r="C561" s="82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R561" s="1"/>
      <c r="S561" s="1"/>
      <c r="T561" s="1"/>
      <c r="U561" s="1"/>
      <c r="V561" s="1"/>
      <c r="W561" s="5"/>
      <c r="X561" s="1"/>
      <c r="Y561" s="5"/>
      <c r="Z561" s="1"/>
      <c r="AG561" s="5"/>
      <c r="AH561" s="5"/>
      <c r="AK561" s="5"/>
      <c r="AM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M561" s="5">
        <v>0.125</v>
      </c>
      <c r="BO561" s="5"/>
      <c r="BP561"/>
      <c r="BQ561" s="5">
        <v>0.161</v>
      </c>
      <c r="BR561" s="5"/>
      <c r="BS561" s="5">
        <v>0.121</v>
      </c>
      <c r="BT561" s="5"/>
      <c r="BU561" s="5">
        <v>0.126</v>
      </c>
      <c r="BV561" s="5"/>
      <c r="BW561" s="5">
        <v>0.113</v>
      </c>
      <c r="BX561" s="5"/>
      <c r="BY561" s="5"/>
      <c r="CH561" s="44"/>
    </row>
    <row r="562" spans="1:86" x14ac:dyDescent="0.2">
      <c r="A562" s="3" t="s">
        <v>19</v>
      </c>
      <c r="B562" s="39">
        <v>675</v>
      </c>
      <c r="C562" s="82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R562" s="1"/>
      <c r="S562" s="1"/>
      <c r="T562" s="1"/>
      <c r="U562" s="1"/>
      <c r="V562" s="1"/>
      <c r="W562" s="5"/>
      <c r="X562" s="1"/>
      <c r="Y562" s="5"/>
      <c r="Z562" s="1"/>
      <c r="AG562" s="5"/>
      <c r="AH562" s="5"/>
      <c r="AK562" s="5"/>
      <c r="AM562" s="5"/>
      <c r="AP562" s="5"/>
      <c r="AQ562" s="5"/>
      <c r="AR562" s="5"/>
      <c r="AS562" s="5"/>
      <c r="AU562" s="5"/>
      <c r="AV562" s="5">
        <v>1E-3</v>
      </c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M562" s="5"/>
      <c r="BO562" s="5"/>
      <c r="BP562"/>
      <c r="BQ562" s="5"/>
      <c r="BR562" s="5"/>
      <c r="BS562" s="5"/>
      <c r="BT562" s="5"/>
      <c r="BU562" s="5">
        <v>0.05</v>
      </c>
      <c r="BV562" s="5"/>
      <c r="BW562" s="5"/>
      <c r="BX562" s="5"/>
      <c r="BY562" s="5"/>
      <c r="CH562" s="44"/>
    </row>
    <row r="563" spans="1:86" x14ac:dyDescent="0.2">
      <c r="A563" s="3" t="s">
        <v>19</v>
      </c>
      <c r="B563" s="39">
        <v>676</v>
      </c>
      <c r="C563" s="82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R563" s="1"/>
      <c r="S563" s="1"/>
      <c r="T563" s="1"/>
      <c r="U563" s="1"/>
      <c r="V563" s="1"/>
      <c r="W563" s="5"/>
      <c r="X563" s="1"/>
      <c r="Y563" s="5"/>
      <c r="Z563" s="1"/>
      <c r="AG563" s="5"/>
      <c r="AH563" s="5"/>
      <c r="AK563" s="5"/>
      <c r="AM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>
        <v>2.8799999999999999E-2</v>
      </c>
      <c r="BC563" s="5"/>
      <c r="BD563" s="5"/>
      <c r="BE563" s="5"/>
      <c r="BF563" s="5"/>
      <c r="BG563" s="5"/>
      <c r="BH563" s="5"/>
      <c r="BI563" s="5"/>
      <c r="BJ563" s="5"/>
      <c r="BK563" s="5"/>
      <c r="BM563" s="5"/>
      <c r="BO563" s="5"/>
      <c r="BP563"/>
      <c r="BQ563" s="5"/>
      <c r="BR563" s="5"/>
      <c r="BS563" s="5"/>
      <c r="BT563" s="5"/>
      <c r="BU563" s="5"/>
      <c r="BV563" s="5">
        <v>0.11799999999999999</v>
      </c>
      <c r="BW563" s="5"/>
      <c r="BX563" s="5"/>
      <c r="BY563" s="5"/>
      <c r="CH563" s="44"/>
    </row>
    <row r="564" spans="1:86" x14ac:dyDescent="0.2">
      <c r="A564" s="3" t="s">
        <v>19</v>
      </c>
      <c r="B564" s="39">
        <v>676</v>
      </c>
      <c r="C564" s="82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R564" s="1"/>
      <c r="S564" s="1"/>
      <c r="T564" s="1"/>
      <c r="U564" s="1"/>
      <c r="V564" s="1"/>
      <c r="W564" s="5"/>
      <c r="X564" s="1"/>
      <c r="Y564" s="5"/>
      <c r="Z564" s="1"/>
      <c r="AG564" s="5"/>
      <c r="AH564" s="5"/>
      <c r="AK564" s="5"/>
      <c r="AM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>
        <v>4.5499999999999999E-2</v>
      </c>
      <c r="BC564" s="5"/>
      <c r="BD564" s="5"/>
      <c r="BE564" s="5"/>
      <c r="BF564" s="5"/>
      <c r="BG564" s="5"/>
      <c r="BH564" s="5"/>
      <c r="BI564" s="5"/>
      <c r="BJ564" s="5"/>
      <c r="BK564" s="5"/>
      <c r="BM564" s="5"/>
      <c r="BO564" s="5"/>
      <c r="BP564"/>
      <c r="BQ564" s="5"/>
      <c r="BR564" s="5"/>
      <c r="BS564" s="5"/>
      <c r="BT564" s="5"/>
      <c r="BU564" s="5"/>
      <c r="BV564" s="5">
        <v>0.11</v>
      </c>
      <c r="BW564" s="5"/>
      <c r="BX564" s="5"/>
      <c r="BY564" s="5"/>
      <c r="CH564" s="44"/>
    </row>
    <row r="565" spans="1:86" x14ac:dyDescent="0.2">
      <c r="A565" s="3" t="s">
        <v>19</v>
      </c>
      <c r="B565" s="39">
        <v>677</v>
      </c>
      <c r="C565" s="82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R565" s="1"/>
      <c r="S565" s="1"/>
      <c r="T565" s="1"/>
      <c r="U565" s="1"/>
      <c r="V565" s="1"/>
      <c r="W565" s="5"/>
      <c r="X565" s="1"/>
      <c r="Y565" s="5"/>
      <c r="Z565" s="1"/>
      <c r="AG565" s="5"/>
      <c r="AH565" s="5"/>
      <c r="AK565" s="5"/>
      <c r="AM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>
        <v>0.1</v>
      </c>
      <c r="BF565" s="5"/>
      <c r="BG565" s="5"/>
      <c r="BH565" s="5"/>
      <c r="BI565" s="5"/>
      <c r="BJ565" s="5"/>
      <c r="BK565" s="5">
        <v>0.13900000000000001</v>
      </c>
      <c r="BM565" s="5">
        <v>0.154</v>
      </c>
      <c r="BO565" s="5">
        <v>0.17100000000000001</v>
      </c>
      <c r="BP565"/>
      <c r="BQ565" s="5">
        <v>0.154</v>
      </c>
      <c r="BR565" s="5"/>
      <c r="BS565" s="5">
        <v>0.16800000000000001</v>
      </c>
      <c r="BT565" s="5"/>
      <c r="BU565" s="5">
        <v>0.16900000000000001</v>
      </c>
      <c r="BV565" s="5"/>
      <c r="BW565" s="5">
        <v>0.16900000000000001</v>
      </c>
      <c r="BX565" s="5"/>
      <c r="BY565" s="5">
        <v>0.17199999999999999</v>
      </c>
      <c r="CH565" s="44"/>
    </row>
    <row r="566" spans="1:86" x14ac:dyDescent="0.2">
      <c r="A566" s="3" t="s">
        <v>19</v>
      </c>
      <c r="B566" s="39">
        <v>678</v>
      </c>
      <c r="C566" s="82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R566" s="1"/>
      <c r="S566" s="1"/>
      <c r="T566" s="1"/>
      <c r="U566" s="1"/>
      <c r="V566" s="1"/>
      <c r="W566" s="5"/>
      <c r="X566" s="1"/>
      <c r="Y566" s="5"/>
      <c r="Z566" s="1"/>
      <c r="AG566" s="5"/>
      <c r="AH566" s="5"/>
      <c r="AK566" s="5"/>
      <c r="AM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>
        <v>0.14199999999999999</v>
      </c>
      <c r="BM566" s="5">
        <v>0.152</v>
      </c>
      <c r="BO566" s="5">
        <v>0.17100000000000001</v>
      </c>
      <c r="BP566"/>
      <c r="BQ566" s="5">
        <v>0.157</v>
      </c>
      <c r="BR566"/>
      <c r="BS566" s="5">
        <v>0.17</v>
      </c>
      <c r="BU566" s="5">
        <v>0.17</v>
      </c>
      <c r="BW566" s="5">
        <v>0.17</v>
      </c>
      <c r="BY566" s="5">
        <v>0.17399999999999999</v>
      </c>
      <c r="CH566" s="44"/>
    </row>
    <row r="567" spans="1:86" x14ac:dyDescent="0.2">
      <c r="A567" s="3" t="s">
        <v>19</v>
      </c>
      <c r="B567" s="39">
        <v>679</v>
      </c>
      <c r="C567" s="82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R567" s="1"/>
      <c r="S567" s="1"/>
      <c r="T567" s="1"/>
      <c r="U567" s="1"/>
      <c r="V567" s="1"/>
      <c r="W567" s="5"/>
      <c r="X567" s="1"/>
      <c r="Y567" s="5"/>
      <c r="Z567" s="1"/>
      <c r="AG567" s="5"/>
      <c r="AH567" s="5"/>
      <c r="AK567" s="5"/>
      <c r="AM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M567" s="5"/>
      <c r="BO567" s="5">
        <v>3.5000000000000003E-2</v>
      </c>
      <c r="BP567"/>
      <c r="BQ567" s="5"/>
      <c r="BR567" s="5">
        <v>5.0999999999999997E-2</v>
      </c>
      <c r="BS567" s="5"/>
      <c r="BU567" s="5"/>
      <c r="BV567" s="5">
        <v>7.4999999999999997E-2</v>
      </c>
      <c r="BW567" s="5"/>
      <c r="BY567" s="5">
        <v>0.112</v>
      </c>
      <c r="CH567" s="44"/>
    </row>
    <row r="568" spans="1:86" x14ac:dyDescent="0.2">
      <c r="A568" s="3" t="s">
        <v>19</v>
      </c>
      <c r="B568" s="39">
        <v>680</v>
      </c>
      <c r="C568" s="82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R568" s="1"/>
      <c r="S568" s="1"/>
      <c r="T568" s="1"/>
      <c r="U568" s="1"/>
      <c r="V568" s="1"/>
      <c r="W568" s="5"/>
      <c r="X568" s="1"/>
      <c r="Y568" s="5"/>
      <c r="Z568" s="1"/>
      <c r="AG568" s="5"/>
      <c r="AH568" s="5"/>
      <c r="AK568" s="5"/>
      <c r="AM568" s="5"/>
      <c r="AO568" s="5">
        <v>0.23499999999999999</v>
      </c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>
        <v>0.36499999999999999</v>
      </c>
      <c r="BC568" s="5"/>
      <c r="BD568" s="5"/>
      <c r="BE568" s="5"/>
      <c r="BF568" s="5">
        <v>0.34699999999999998</v>
      </c>
      <c r="BG568" s="5"/>
      <c r="BH568" s="5"/>
      <c r="BI568" s="5"/>
      <c r="BJ568" s="5"/>
      <c r="BK568" s="5"/>
      <c r="BM568" s="5">
        <v>0.43</v>
      </c>
      <c r="BN568" s="5">
        <v>0.442</v>
      </c>
      <c r="BO568" s="5"/>
      <c r="BP568"/>
      <c r="BQ568" s="5"/>
      <c r="BR568" s="5"/>
      <c r="BS568" s="5"/>
      <c r="BU568" s="5">
        <v>0.51200000000000001</v>
      </c>
      <c r="BV568" s="5"/>
      <c r="BW568" s="5"/>
      <c r="BX568" s="5">
        <v>0.53100000000000003</v>
      </c>
      <c r="BY568" s="5"/>
      <c r="CH568" s="44"/>
    </row>
    <row r="569" spans="1:86" x14ac:dyDescent="0.2">
      <c r="A569" s="3" t="s">
        <v>19</v>
      </c>
      <c r="B569" s="39">
        <v>681</v>
      </c>
      <c r="C569" s="82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R569" s="1"/>
      <c r="S569" s="1"/>
      <c r="T569" s="1"/>
      <c r="U569" s="1"/>
      <c r="V569" s="1"/>
      <c r="W569" s="5"/>
      <c r="X569" s="1"/>
      <c r="Y569" s="5"/>
      <c r="Z569" s="1"/>
      <c r="AG569" s="5"/>
      <c r="AH569" s="5"/>
      <c r="AK569" s="5"/>
      <c r="AM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>
        <v>0.25700000000000001</v>
      </c>
      <c r="BJ569" s="5"/>
      <c r="BK569" s="5"/>
      <c r="BL569" s="5">
        <v>0.27200000000000002</v>
      </c>
      <c r="BM569" s="5"/>
      <c r="BN569" s="5"/>
      <c r="BO569" s="5"/>
      <c r="BP569" s="5">
        <v>0.32600000000000001</v>
      </c>
      <c r="BQ569" s="5"/>
      <c r="BR569" s="5"/>
      <c r="BS569" s="5"/>
      <c r="BT569" s="5">
        <v>0.35099999999999998</v>
      </c>
      <c r="BU569" s="5"/>
      <c r="BV569" s="5"/>
      <c r="BW569" s="5">
        <v>0.36199999999999999</v>
      </c>
      <c r="BX569" s="5"/>
      <c r="BY569" s="5">
        <v>0.379</v>
      </c>
      <c r="CH569" s="44"/>
    </row>
    <row r="570" spans="1:86" x14ac:dyDescent="0.2">
      <c r="A570" s="3" t="s">
        <v>19</v>
      </c>
      <c r="B570" s="39">
        <v>682</v>
      </c>
      <c r="C570" s="82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R570" s="1"/>
      <c r="S570" s="1"/>
      <c r="T570" s="1"/>
      <c r="U570" s="1"/>
      <c r="V570" s="1"/>
      <c r="W570" s="5"/>
      <c r="X570" s="1"/>
      <c r="Y570" s="5"/>
      <c r="Z570" s="1"/>
      <c r="AG570" s="5"/>
      <c r="AH570" s="5"/>
      <c r="AK570" s="5"/>
      <c r="AM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>
        <v>0.16800000000000001</v>
      </c>
      <c r="BU570" s="5">
        <v>0.16900000000000001</v>
      </c>
      <c r="BW570" s="5">
        <v>0.16900000000000001</v>
      </c>
      <c r="BY570" s="5">
        <v>0.17199999999999999</v>
      </c>
      <c r="CA570" s="5">
        <v>0.185</v>
      </c>
      <c r="CH570" s="44"/>
    </row>
    <row r="571" spans="1:86" x14ac:dyDescent="0.2">
      <c r="A571" s="3" t="s">
        <v>19</v>
      </c>
      <c r="B571" s="39">
        <v>682</v>
      </c>
      <c r="C571" s="82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R571" s="1"/>
      <c r="S571" s="1"/>
      <c r="T571" s="1"/>
      <c r="U571" s="1"/>
      <c r="V571" s="1"/>
      <c r="W571" s="5"/>
      <c r="X571" s="1"/>
      <c r="Y571" s="5"/>
      <c r="Z571" s="1"/>
      <c r="AG571" s="5"/>
      <c r="AH571" s="5"/>
      <c r="AK571" s="5"/>
      <c r="AM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>
        <v>0.33700000000000002</v>
      </c>
      <c r="BU571" s="5">
        <v>0.35699999999999998</v>
      </c>
      <c r="BW571" s="5">
        <v>0.34899999999999998</v>
      </c>
      <c r="BY571" s="5">
        <v>0.377</v>
      </c>
      <c r="CA571" s="5">
        <v>0.39600000000000002</v>
      </c>
      <c r="CH571" s="44"/>
    </row>
    <row r="572" spans="1:86" x14ac:dyDescent="0.2">
      <c r="A572" s="3" t="s">
        <v>19</v>
      </c>
      <c r="B572" s="39">
        <v>683</v>
      </c>
      <c r="C572" s="82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R572" s="1"/>
      <c r="S572" s="1"/>
      <c r="T572" s="1"/>
      <c r="U572" s="1"/>
      <c r="V572" s="1"/>
      <c r="W572" s="5"/>
      <c r="X572" s="1"/>
      <c r="Y572" s="5"/>
      <c r="Z572" s="1"/>
      <c r="AG572" s="5"/>
      <c r="AH572" s="5"/>
      <c r="AK572" s="5"/>
      <c r="AM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>
        <v>0.17499999999999999</v>
      </c>
      <c r="BQ572" s="5"/>
      <c r="BR572" s="5">
        <v>0.18099999999999999</v>
      </c>
      <c r="BS572" s="5"/>
      <c r="BU572" s="5"/>
      <c r="BV572" s="5">
        <v>0.192</v>
      </c>
      <c r="BW572" s="5"/>
      <c r="BX572" s="5">
        <v>0.192</v>
      </c>
      <c r="BY572" s="5"/>
      <c r="CA572" s="5"/>
      <c r="CH572" s="44"/>
    </row>
    <row r="573" spans="1:86" x14ac:dyDescent="0.2">
      <c r="A573" s="3" t="s">
        <v>19</v>
      </c>
      <c r="B573" s="39">
        <v>684</v>
      </c>
      <c r="C573" s="82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R573" s="1"/>
      <c r="S573" s="1"/>
      <c r="T573" s="1"/>
      <c r="U573" s="1"/>
      <c r="V573" s="1"/>
      <c r="W573" s="5"/>
      <c r="X573" s="1"/>
      <c r="Y573" s="5"/>
      <c r="Z573" s="1"/>
      <c r="AG573" s="5"/>
      <c r="AH573" s="5"/>
      <c r="AK573" s="5"/>
      <c r="AM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>
        <v>8.4000000000000005E-2</v>
      </c>
      <c r="BW573" s="5"/>
      <c r="BX573" s="5"/>
      <c r="BY573" s="5"/>
      <c r="BZ573" s="5">
        <v>9.6000000000000002E-2</v>
      </c>
      <c r="CA573" s="5"/>
      <c r="CH573" s="44"/>
    </row>
    <row r="574" spans="1:86" x14ac:dyDescent="0.2">
      <c r="A574" s="3" t="s">
        <v>19</v>
      </c>
      <c r="B574" s="39">
        <v>685</v>
      </c>
      <c r="C574" s="82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R574" s="1"/>
      <c r="S574" s="1"/>
      <c r="T574" s="1"/>
      <c r="U574" s="1"/>
      <c r="V574" s="1"/>
      <c r="W574" s="5"/>
      <c r="X574" s="1"/>
      <c r="Y574" s="5"/>
      <c r="Z574" s="1"/>
      <c r="AG574" s="5"/>
      <c r="AH574" s="5"/>
      <c r="AK574" s="5"/>
      <c r="AM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>
        <v>0.29699999999999999</v>
      </c>
      <c r="BU574" s="5">
        <v>0.29699999999999999</v>
      </c>
      <c r="BV574" s="5">
        <v>0.30199999999999999</v>
      </c>
      <c r="BW574" s="5">
        <v>0.30199999999999999</v>
      </c>
      <c r="BX574" s="5">
        <v>0.30599999999999999</v>
      </c>
      <c r="BY574" s="5">
        <v>0.311</v>
      </c>
      <c r="BZ574" s="5">
        <v>0.32400000000000001</v>
      </c>
      <c r="CA574" s="5"/>
      <c r="CH574" s="44"/>
    </row>
    <row r="575" spans="1:86" x14ac:dyDescent="0.2">
      <c r="A575" s="3" t="s">
        <v>19</v>
      </c>
      <c r="B575" s="39">
        <v>686</v>
      </c>
      <c r="C575" s="82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R575" s="1"/>
      <c r="S575" s="1"/>
      <c r="T575" s="1"/>
      <c r="U575" s="1"/>
      <c r="V575" s="1"/>
      <c r="W575" s="5"/>
      <c r="X575" s="1"/>
      <c r="Y575" s="5"/>
      <c r="Z575" s="1"/>
      <c r="AG575" s="5"/>
      <c r="AH575" s="5"/>
      <c r="AK575" s="5"/>
      <c r="AM575" s="5"/>
      <c r="AO575" s="5">
        <v>5.6000000000000001E-2</v>
      </c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>
        <v>0.106</v>
      </c>
      <c r="BC575" s="5"/>
      <c r="BD575" s="5"/>
      <c r="BE575" s="5"/>
      <c r="BF575" s="5"/>
      <c r="BG575" s="5"/>
      <c r="BH575" s="5"/>
      <c r="BI575" s="5"/>
      <c r="BJ575" s="5"/>
      <c r="BK575" s="5">
        <v>0.14099999999999999</v>
      </c>
      <c r="BL575" s="5"/>
      <c r="BM575" s="5">
        <v>0.154</v>
      </c>
      <c r="BO575" s="5">
        <v>0.17</v>
      </c>
      <c r="BP575"/>
      <c r="BQ575" s="5">
        <v>0.156</v>
      </c>
      <c r="BR575"/>
      <c r="BS575" s="5">
        <v>0.17</v>
      </c>
      <c r="BU575" s="5">
        <v>0.16900000000000001</v>
      </c>
      <c r="BW575" s="5">
        <v>0.16900000000000001</v>
      </c>
      <c r="BY575" s="5">
        <v>0.17199999999999999</v>
      </c>
      <c r="CA575" s="5">
        <v>0.185</v>
      </c>
      <c r="CH575" s="44"/>
    </row>
    <row r="576" spans="1:86" x14ac:dyDescent="0.2">
      <c r="A576" s="3" t="s">
        <v>19</v>
      </c>
      <c r="B576" s="39">
        <v>687</v>
      </c>
      <c r="C576" s="82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R576" s="1"/>
      <c r="S576" s="1"/>
      <c r="T576" s="1"/>
      <c r="U576" s="1"/>
      <c r="V576" s="1"/>
      <c r="W576" s="5"/>
      <c r="X576" s="1"/>
      <c r="Y576" s="5"/>
      <c r="Z576" s="1"/>
      <c r="AG576" s="5"/>
      <c r="AH576" s="5"/>
      <c r="AK576" s="5"/>
      <c r="AM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>
        <v>7.4999999999999997E-2</v>
      </c>
      <c r="BO576" s="5"/>
      <c r="BP576"/>
      <c r="BQ576" s="5"/>
      <c r="BR576"/>
      <c r="BS576" s="5"/>
      <c r="BU576" s="5"/>
      <c r="BW576" s="5"/>
      <c r="BX576" s="5">
        <v>0.14699999999999999</v>
      </c>
      <c r="BY576" s="5"/>
      <c r="CA576" s="5"/>
      <c r="CH576" s="44"/>
    </row>
    <row r="577" spans="1:86" x14ac:dyDescent="0.2">
      <c r="A577" s="3" t="s">
        <v>19</v>
      </c>
      <c r="B577" s="39">
        <v>687</v>
      </c>
      <c r="C577" s="82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R577" s="1"/>
      <c r="S577" s="1"/>
      <c r="T577" s="1"/>
      <c r="U577" s="1"/>
      <c r="V577" s="1"/>
      <c r="W577" s="5"/>
      <c r="X577" s="1"/>
      <c r="Y577" s="5"/>
      <c r="Z577" s="1"/>
      <c r="AG577" s="5"/>
      <c r="AH577" s="5"/>
      <c r="AK577" s="5"/>
      <c r="AM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>
        <v>0.17</v>
      </c>
      <c r="BO577" s="5"/>
      <c r="BP577"/>
      <c r="BQ577" s="5"/>
      <c r="BR577"/>
      <c r="BS577" s="5"/>
      <c r="BU577" s="5"/>
      <c r="BW577" s="5"/>
      <c r="BX577" s="5">
        <v>0.25700000000000001</v>
      </c>
      <c r="BY577" s="5"/>
      <c r="CA577" s="5"/>
      <c r="CH577" s="44"/>
    </row>
    <row r="578" spans="1:86" x14ac:dyDescent="0.2">
      <c r="A578" s="3" t="s">
        <v>19</v>
      </c>
      <c r="B578" s="39">
        <v>688</v>
      </c>
      <c r="C578" s="82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R578" s="1"/>
      <c r="S578" s="1"/>
      <c r="T578" s="1"/>
      <c r="U578" s="1"/>
      <c r="V578" s="1"/>
      <c r="W578" s="5"/>
      <c r="X578" s="1"/>
      <c r="Y578" s="5"/>
      <c r="Z578" s="1"/>
      <c r="AG578" s="5"/>
      <c r="AH578" s="5"/>
      <c r="AK578" s="5"/>
      <c r="AM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>
        <v>0.251</v>
      </c>
      <c r="BL578" s="5"/>
      <c r="BM578" s="5"/>
      <c r="BO578" s="5"/>
      <c r="BP578"/>
      <c r="BQ578" s="5">
        <v>0.30499999999999999</v>
      </c>
      <c r="BR578"/>
      <c r="BS578" s="5"/>
      <c r="BU578" s="5"/>
      <c r="BW578" s="5">
        <v>0.32400000000000001</v>
      </c>
      <c r="BX578" s="5"/>
      <c r="BY578" s="5"/>
      <c r="CA578" s="5"/>
      <c r="CD578" s="5">
        <v>0.35599999999999998</v>
      </c>
      <c r="CH578" s="44"/>
    </row>
    <row r="579" spans="1:86" x14ac:dyDescent="0.2">
      <c r="A579" s="3" t="s">
        <v>19</v>
      </c>
      <c r="B579" s="39">
        <v>689</v>
      </c>
      <c r="C579" s="82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R579" s="1"/>
      <c r="S579" s="1"/>
      <c r="T579" s="1"/>
      <c r="U579" s="1"/>
      <c r="V579" s="1"/>
      <c r="W579" s="5"/>
      <c r="X579" s="1"/>
      <c r="Y579" s="5"/>
      <c r="Z579" s="1"/>
      <c r="AG579" s="5"/>
      <c r="AH579" s="5"/>
      <c r="AK579" s="5"/>
      <c r="AM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>
        <v>0.27500000000000002</v>
      </c>
      <c r="BL579" s="5"/>
      <c r="BM579" s="5"/>
      <c r="BO579" s="5"/>
      <c r="BP579"/>
      <c r="BQ579" s="5"/>
      <c r="BR579"/>
      <c r="BS579" s="5"/>
      <c r="BU579" s="5"/>
      <c r="BW579" s="5"/>
      <c r="BX579" s="5"/>
      <c r="BY579" s="5"/>
      <c r="CA579" s="5"/>
      <c r="CC579" s="5">
        <v>0.43</v>
      </c>
      <c r="CD579" s="5"/>
      <c r="CH579" s="44"/>
    </row>
    <row r="580" spans="1:86" x14ac:dyDescent="0.2">
      <c r="A580" s="3" t="s">
        <v>19</v>
      </c>
      <c r="B580" s="39">
        <v>689</v>
      </c>
      <c r="C580" s="82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R580" s="1"/>
      <c r="S580" s="1"/>
      <c r="T580" s="1"/>
      <c r="U580" s="1"/>
      <c r="V580" s="1"/>
      <c r="W580" s="5"/>
      <c r="X580" s="1"/>
      <c r="Y580" s="5"/>
      <c r="Z580" s="1"/>
      <c r="AG580" s="5"/>
      <c r="AH580" s="5"/>
      <c r="AK580" s="5"/>
      <c r="AM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>
        <v>0.33400000000000002</v>
      </c>
      <c r="BL580" s="5"/>
      <c r="BM580" s="5"/>
      <c r="BO580" s="5"/>
      <c r="BP580"/>
      <c r="BQ580" s="5"/>
      <c r="BR580"/>
      <c r="BS580" s="5"/>
      <c r="BU580" s="5"/>
      <c r="BW580" s="5"/>
      <c r="BX580" s="5"/>
      <c r="BY580" s="5"/>
      <c r="CA580" s="5"/>
      <c r="CC580" s="5">
        <v>0.41899999999999998</v>
      </c>
      <c r="CD580" s="5"/>
      <c r="CH580" s="44"/>
    </row>
    <row r="581" spans="1:86" x14ac:dyDescent="0.2">
      <c r="A581" s="3" t="s">
        <v>19</v>
      </c>
      <c r="B581" s="39">
        <v>689</v>
      </c>
      <c r="C581" s="82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R581" s="1"/>
      <c r="S581" s="1"/>
      <c r="T581" s="1"/>
      <c r="U581" s="1"/>
      <c r="V581" s="1"/>
      <c r="W581" s="5"/>
      <c r="X581" s="1"/>
      <c r="Y581" s="5"/>
      <c r="Z581" s="1"/>
      <c r="AG581" s="5"/>
      <c r="AH581" s="5"/>
      <c r="AK581" s="5"/>
      <c r="AM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>
        <v>8.5000000000000006E-2</v>
      </c>
      <c r="BP581"/>
      <c r="BQ581" s="5">
        <v>7.8E-2</v>
      </c>
      <c r="BR581"/>
      <c r="BS581"/>
      <c r="BU581" s="5">
        <v>8.6999999999999994E-2</v>
      </c>
      <c r="BX581" s="5"/>
      <c r="BY581" s="5">
        <v>7.5999999999999998E-2</v>
      </c>
      <c r="CA581" s="5"/>
      <c r="CC581" s="5">
        <v>9.1999999999999998E-2</v>
      </c>
      <c r="CD581" s="5"/>
      <c r="CH581" s="44"/>
    </row>
    <row r="582" spans="1:86" x14ac:dyDescent="0.2">
      <c r="A582" s="3" t="s">
        <v>19</v>
      </c>
      <c r="B582" s="39">
        <v>689</v>
      </c>
      <c r="C582" s="82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R582" s="1"/>
      <c r="S582" s="1"/>
      <c r="T582" s="1"/>
      <c r="U582" s="1"/>
      <c r="V582" s="1"/>
      <c r="W582" s="5"/>
      <c r="X582" s="1"/>
      <c r="Y582" s="5"/>
      <c r="Z582" s="1"/>
      <c r="AG582" s="5"/>
      <c r="AH582" s="5"/>
      <c r="AK582" s="5"/>
      <c r="AM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>
        <v>0.10299999999999999</v>
      </c>
      <c r="BP582"/>
      <c r="BQ582" s="5">
        <v>0.123</v>
      </c>
      <c r="BR582"/>
      <c r="BS582"/>
      <c r="BU582" s="5">
        <v>0.111</v>
      </c>
      <c r="BX582" s="5"/>
      <c r="BY582" s="5">
        <v>8.8999999999999996E-2</v>
      </c>
      <c r="CA582" s="5"/>
      <c r="CC582" s="5">
        <v>0.13700000000000001</v>
      </c>
      <c r="CD582" s="5"/>
      <c r="CH582" s="44"/>
    </row>
    <row r="583" spans="1:86" x14ac:dyDescent="0.2">
      <c r="A583" s="3" t="s">
        <v>19</v>
      </c>
      <c r="B583" s="39">
        <v>689</v>
      </c>
      <c r="C583" s="82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R583" s="1"/>
      <c r="S583" s="1"/>
      <c r="T583" s="1"/>
      <c r="U583" s="1"/>
      <c r="V583" s="1"/>
      <c r="W583" s="5"/>
      <c r="X583" s="1"/>
      <c r="Y583" s="5"/>
      <c r="Z583" s="1"/>
      <c r="AG583" s="5"/>
      <c r="AH583" s="5"/>
      <c r="AK583" s="5"/>
      <c r="AM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>
        <v>0.158</v>
      </c>
      <c r="BP583"/>
      <c r="BQ583" s="5">
        <v>0.17</v>
      </c>
      <c r="BR583"/>
      <c r="BS583"/>
      <c r="BU583" s="5">
        <v>0.188</v>
      </c>
      <c r="BX583" s="5"/>
      <c r="BY583" s="5">
        <v>0.17499999999999999</v>
      </c>
      <c r="CA583" s="5"/>
      <c r="CC583" s="5">
        <v>0.193</v>
      </c>
      <c r="CD583" s="5"/>
      <c r="CH583" s="44"/>
    </row>
    <row r="584" spans="1:86" x14ac:dyDescent="0.2">
      <c r="A584" s="3" t="s">
        <v>19</v>
      </c>
      <c r="B584" s="39">
        <v>689</v>
      </c>
      <c r="C584" s="82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R584" s="1"/>
      <c r="S584" s="1"/>
      <c r="T584" s="1"/>
      <c r="U584" s="1"/>
      <c r="V584" s="1"/>
      <c r="W584" s="5"/>
      <c r="X584" s="1"/>
      <c r="Y584" s="5"/>
      <c r="Z584" s="1"/>
      <c r="AG584" s="5"/>
      <c r="AH584" s="5"/>
      <c r="AK584" s="5"/>
      <c r="AM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>
        <v>0.16</v>
      </c>
      <c r="BP584"/>
      <c r="BQ584" s="5">
        <v>0.17599999999999999</v>
      </c>
      <c r="BR584"/>
      <c r="BS584"/>
      <c r="BU584" s="5">
        <v>0.182</v>
      </c>
      <c r="BX584" s="5"/>
      <c r="BY584" s="5">
        <v>0.20499999999999999</v>
      </c>
      <c r="CA584" s="5"/>
      <c r="CC584" s="5">
        <v>0.20899999999999999</v>
      </c>
      <c r="CD584" s="5"/>
      <c r="CH584" s="44"/>
    </row>
    <row r="585" spans="1:86" x14ac:dyDescent="0.2">
      <c r="A585" s="3" t="s">
        <v>19</v>
      </c>
      <c r="B585" s="39">
        <v>690</v>
      </c>
      <c r="C585" s="82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R585" s="1"/>
      <c r="S585" s="1"/>
      <c r="T585" s="1"/>
      <c r="U585" s="1"/>
      <c r="V585" s="1"/>
      <c r="W585" s="5"/>
      <c r="X585" s="1"/>
      <c r="Y585" s="5"/>
      <c r="Z585" s="1"/>
      <c r="AG585" s="5"/>
      <c r="AH585" s="5"/>
      <c r="AK585" s="5"/>
      <c r="AM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P585"/>
      <c r="BQ585" s="5"/>
      <c r="BR585"/>
      <c r="BS585"/>
      <c r="BU585" s="5"/>
      <c r="BX585" s="5">
        <v>0.20799999999999999</v>
      </c>
      <c r="BY585" s="5"/>
      <c r="CA585" s="5"/>
      <c r="CC585" s="5"/>
      <c r="CD585" s="5">
        <v>0.25900000000000001</v>
      </c>
      <c r="CH585" s="44"/>
    </row>
    <row r="586" spans="1:86" x14ac:dyDescent="0.2">
      <c r="A586" s="3" t="s">
        <v>19</v>
      </c>
      <c r="B586" s="39">
        <v>691</v>
      </c>
      <c r="C586" s="82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R586" s="1"/>
      <c r="S586" s="1"/>
      <c r="T586" s="1"/>
      <c r="U586" s="1"/>
      <c r="V586" s="1"/>
      <c r="W586" s="5"/>
      <c r="X586" s="1"/>
      <c r="Y586" s="5"/>
      <c r="Z586" s="1"/>
      <c r="AG586" s="5"/>
      <c r="AH586" s="5"/>
      <c r="AK586" s="5"/>
      <c r="AM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>
        <v>9.0999999999999998E-2</v>
      </c>
      <c r="BI586" s="5"/>
      <c r="BJ586" s="5"/>
      <c r="BK586" s="5"/>
      <c r="BL586" s="5"/>
      <c r="BM586" s="5"/>
      <c r="BP586"/>
      <c r="BQ586" s="5"/>
      <c r="BR586"/>
      <c r="BS586"/>
      <c r="BU586" s="5"/>
      <c r="BX586" s="5"/>
      <c r="BY586" s="5"/>
      <c r="CA586" s="5"/>
      <c r="CB586" s="5">
        <v>0.17</v>
      </c>
      <c r="CC586" s="5"/>
      <c r="CD586" s="5"/>
      <c r="CH586" s="44"/>
    </row>
    <row r="587" spans="1:86" x14ac:dyDescent="0.2">
      <c r="A587" s="3" t="s">
        <v>19</v>
      </c>
      <c r="B587" s="39">
        <v>692</v>
      </c>
      <c r="C587" s="82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R587" s="1"/>
      <c r="S587" s="1"/>
      <c r="T587" s="1"/>
      <c r="U587" s="1"/>
      <c r="V587" s="1"/>
      <c r="W587" s="5"/>
      <c r="X587" s="1"/>
      <c r="Y587" s="5"/>
      <c r="Z587" s="1"/>
      <c r="AG587" s="5"/>
      <c r="AH587" s="5"/>
      <c r="AK587" s="5"/>
      <c r="AM587" s="5"/>
      <c r="AO587" s="5"/>
      <c r="AP587" s="5"/>
      <c r="AQ587" s="5">
        <v>5.5E-2</v>
      </c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>
        <v>0.14799999999999999</v>
      </c>
      <c r="BF587" s="5"/>
      <c r="BG587" s="5"/>
      <c r="BH587" s="5"/>
      <c r="BI587" s="5"/>
      <c r="BJ587" s="5"/>
      <c r="BK587" s="5">
        <v>0.19900000000000001</v>
      </c>
      <c r="BL587" s="5"/>
      <c r="BM587" s="5">
        <v>0.193</v>
      </c>
      <c r="BO587" s="5">
        <v>0.23799999999999999</v>
      </c>
      <c r="BP587"/>
      <c r="BQ587" s="5">
        <v>0.245</v>
      </c>
      <c r="BR587"/>
      <c r="BS587" s="5">
        <v>0.216</v>
      </c>
      <c r="BU587" s="5">
        <v>0.26</v>
      </c>
      <c r="BW587" s="5">
        <v>0.21099999999999999</v>
      </c>
      <c r="BY587" s="5">
        <v>0.22900000000000001</v>
      </c>
      <c r="CA587" s="5">
        <v>0.27300000000000002</v>
      </c>
      <c r="CC587" s="5">
        <v>0.32600000000000001</v>
      </c>
      <c r="CD587" s="5"/>
      <c r="CH587" s="44"/>
    </row>
    <row r="588" spans="1:86" x14ac:dyDescent="0.2">
      <c r="A588" s="3" t="s">
        <v>19</v>
      </c>
      <c r="B588" s="39">
        <v>693</v>
      </c>
      <c r="C588" s="82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R588" s="1"/>
      <c r="S588" s="1"/>
      <c r="T588" s="1"/>
      <c r="U588" s="1"/>
      <c r="V588" s="1"/>
      <c r="W588" s="5"/>
      <c r="X588" s="1"/>
      <c r="Y588" s="5"/>
      <c r="Z588" s="1"/>
      <c r="AG588" s="5"/>
      <c r="AH588" s="5"/>
      <c r="AK588" s="5"/>
      <c r="AM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O588" s="5"/>
      <c r="BP588" s="5">
        <v>0.222</v>
      </c>
      <c r="BQ588" s="5"/>
      <c r="BR588"/>
      <c r="BS588" s="5"/>
      <c r="BU588" s="5"/>
      <c r="BW588" s="5"/>
      <c r="BY588" s="5"/>
      <c r="CA588" s="5"/>
      <c r="CC588" s="5">
        <v>0.27200000000000002</v>
      </c>
      <c r="CD588" s="5"/>
      <c r="CH588" s="44"/>
    </row>
    <row r="589" spans="1:86" x14ac:dyDescent="0.2">
      <c r="A589" s="3" t="s">
        <v>19</v>
      </c>
      <c r="B589" s="39">
        <v>694</v>
      </c>
      <c r="C589" s="82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R589" s="1"/>
      <c r="S589" s="1"/>
      <c r="T589" s="1"/>
      <c r="U589" s="1"/>
      <c r="V589" s="1"/>
      <c r="W589" s="5"/>
      <c r="X589" s="1"/>
      <c r="Y589" s="5"/>
      <c r="Z589" s="1"/>
      <c r="AG589" s="5"/>
      <c r="AH589" s="5"/>
      <c r="AK589" s="5"/>
      <c r="AM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O589" s="5"/>
      <c r="BP589" s="5"/>
      <c r="BQ589" s="5"/>
      <c r="BR589"/>
      <c r="BS589" s="5"/>
      <c r="BU589" s="5"/>
      <c r="BW589" s="5"/>
      <c r="BX589" s="5">
        <v>2.1999999999999999E-2</v>
      </c>
      <c r="BY589" s="5"/>
      <c r="CA589" s="5"/>
      <c r="CC589" s="5">
        <v>0.03</v>
      </c>
      <c r="CD589" s="5"/>
      <c r="CH589" s="44"/>
    </row>
    <row r="590" spans="1:86" x14ac:dyDescent="0.2">
      <c r="A590" s="3" t="s">
        <v>19</v>
      </c>
      <c r="B590" s="39">
        <v>695</v>
      </c>
      <c r="C590" s="82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R590" s="1"/>
      <c r="S590" s="1"/>
      <c r="T590" s="1"/>
      <c r="U590" s="1"/>
      <c r="V590" s="1"/>
      <c r="W590" s="5"/>
      <c r="X590" s="1"/>
      <c r="Y590" s="5"/>
      <c r="Z590" s="1"/>
      <c r="AG590" s="5"/>
      <c r="AH590" s="5"/>
      <c r="AK590" s="5"/>
      <c r="AM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O590" s="5"/>
      <c r="BP590" s="5">
        <v>3.1E-2</v>
      </c>
      <c r="BQ590" s="5"/>
      <c r="BR590"/>
      <c r="BS590" s="5"/>
      <c r="BU590" s="5"/>
      <c r="BW590" s="5"/>
      <c r="BX590" s="5"/>
      <c r="BY590" s="5"/>
      <c r="CA590" s="5">
        <v>0.08</v>
      </c>
      <c r="CC590" s="5"/>
      <c r="CD590" s="5"/>
      <c r="CH590" s="44"/>
    </row>
    <row r="591" spans="1:86" x14ac:dyDescent="0.2">
      <c r="A591" s="3" t="s">
        <v>19</v>
      </c>
      <c r="B591" s="39">
        <v>696</v>
      </c>
      <c r="C591" s="82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R591" s="1"/>
      <c r="S591" s="1"/>
      <c r="T591" s="1"/>
      <c r="U591" s="1"/>
      <c r="V591" s="1"/>
      <c r="W591" s="5"/>
      <c r="X591" s="1"/>
      <c r="Y591" s="5"/>
      <c r="Z591" s="1"/>
      <c r="AG591" s="5"/>
      <c r="AH591" s="5"/>
      <c r="AK591" s="5"/>
      <c r="AM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O591" s="5"/>
      <c r="BP591" s="5"/>
      <c r="BQ591" s="5"/>
      <c r="BR591"/>
      <c r="BS591" s="5">
        <v>0.20699999999999999</v>
      </c>
      <c r="BU591" s="5"/>
      <c r="BW591" s="5"/>
      <c r="BX591" s="5"/>
      <c r="BY591" s="5"/>
      <c r="CA591" s="5"/>
      <c r="CC591" s="5"/>
      <c r="CD591" s="5"/>
      <c r="CE591">
        <v>0.24</v>
      </c>
      <c r="CH591" s="44"/>
    </row>
    <row r="592" spans="1:86" x14ac:dyDescent="0.2">
      <c r="A592" s="3" t="s">
        <v>19</v>
      </c>
      <c r="B592" s="39">
        <v>697</v>
      </c>
      <c r="C592" s="82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R592" s="1"/>
      <c r="S592" s="1"/>
      <c r="T592" s="1"/>
      <c r="U592" s="1"/>
      <c r="V592" s="1"/>
      <c r="W592" s="5"/>
      <c r="X592" s="1"/>
      <c r="Y592" s="5"/>
      <c r="Z592" s="1"/>
      <c r="AG592" s="5"/>
      <c r="AH592" s="5"/>
      <c r="AK592" s="5"/>
      <c r="AM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P592"/>
      <c r="BQ592" s="5"/>
      <c r="BR592">
        <v>5.6000000000000001E-2</v>
      </c>
      <c r="BS592"/>
      <c r="BU592" s="5">
        <v>5.2999999999999999E-2</v>
      </c>
      <c r="BX592" s="5">
        <v>6.0999999999999999E-2</v>
      </c>
      <c r="BY592" s="5"/>
      <c r="CA592" s="5">
        <v>7.8E-2</v>
      </c>
      <c r="CB592" s="5"/>
      <c r="CC592" s="5"/>
      <c r="CD592" s="5">
        <v>0.106</v>
      </c>
      <c r="CE592">
        <v>0.121</v>
      </c>
      <c r="CF592">
        <v>0.13500000000000001</v>
      </c>
      <c r="CH592" s="44"/>
    </row>
    <row r="593" spans="1:86" x14ac:dyDescent="0.2">
      <c r="A593" s="3" t="s">
        <v>19</v>
      </c>
      <c r="B593" s="39">
        <v>698</v>
      </c>
      <c r="C593" s="82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R593" s="1"/>
      <c r="S593" s="1"/>
      <c r="T593" s="1"/>
      <c r="U593" s="1"/>
      <c r="V593" s="1"/>
      <c r="W593" s="5"/>
      <c r="X593" s="1"/>
      <c r="Y593" s="5"/>
      <c r="Z593" s="1"/>
      <c r="AG593" s="5"/>
      <c r="AH593" s="5"/>
      <c r="AK593" s="5"/>
      <c r="AM593" s="5"/>
      <c r="AO593" s="5"/>
      <c r="AP593" s="5"/>
      <c r="AQ593" s="5"/>
      <c r="AR593" s="5"/>
      <c r="AS593" s="5"/>
      <c r="AU593" s="5"/>
      <c r="AV593" s="5"/>
      <c r="AW593" s="5">
        <v>4.5999999999999999E-2</v>
      </c>
      <c r="AX593" s="5"/>
      <c r="AY593" s="5"/>
      <c r="AZ593" s="5"/>
      <c r="BA593" s="5"/>
      <c r="BB593" s="5"/>
      <c r="BC593" s="5"/>
      <c r="BD593" s="5"/>
      <c r="BE593" s="5">
        <v>0.114</v>
      </c>
      <c r="BF593" s="5"/>
      <c r="BG593" s="5"/>
      <c r="BH593" s="5"/>
      <c r="BI593" s="5"/>
      <c r="BJ593" s="5"/>
      <c r="BK593" s="5"/>
      <c r="BL593" s="5"/>
      <c r="BM593" s="5"/>
      <c r="BP593"/>
      <c r="BQ593" s="5"/>
      <c r="BR593"/>
      <c r="BS593"/>
      <c r="BU593" s="5"/>
      <c r="BX593" s="5"/>
      <c r="BY593" s="5"/>
      <c r="CA593" s="5"/>
      <c r="CB593" s="5"/>
      <c r="CC593" s="5"/>
      <c r="CD593" s="5"/>
      <c r="CH593" s="44"/>
    </row>
    <row r="594" spans="1:86" s="46" customFormat="1" x14ac:dyDescent="0.2">
      <c r="A594" s="38" t="s">
        <v>19</v>
      </c>
      <c r="B594" s="40">
        <v>699</v>
      </c>
      <c r="C594" s="83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R594" s="53"/>
      <c r="S594" s="53"/>
      <c r="T594" s="53"/>
      <c r="U594" s="53"/>
      <c r="V594" s="53"/>
      <c r="W594" s="48"/>
      <c r="X594" s="53"/>
      <c r="Y594" s="48"/>
      <c r="Z594" s="53"/>
      <c r="AG594" s="48"/>
      <c r="AH594" s="48"/>
      <c r="AK594" s="48"/>
      <c r="AM594" s="48"/>
      <c r="AO594" s="48"/>
      <c r="AP594" s="48"/>
      <c r="AQ594" s="48"/>
      <c r="AR594" s="48"/>
      <c r="AS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Q594" s="48"/>
      <c r="BU594" s="48"/>
      <c r="BX594" s="48"/>
      <c r="BY594" s="48">
        <v>0.308</v>
      </c>
      <c r="CA594" s="48"/>
      <c r="CB594" s="48">
        <v>0.34499999999999997</v>
      </c>
      <c r="CC594" s="48"/>
      <c r="CD594" s="48"/>
      <c r="CF594" s="46">
        <v>0.373</v>
      </c>
      <c r="CH594" s="51"/>
    </row>
    <row r="595" spans="1:86" x14ac:dyDescent="0.2">
      <c r="A595" s="3" t="s">
        <v>20</v>
      </c>
      <c r="B595" s="39">
        <v>700</v>
      </c>
      <c r="C595" s="82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R595" s="1"/>
      <c r="S595" s="1"/>
      <c r="T595" s="1"/>
      <c r="U595" s="1"/>
      <c r="V595" s="1"/>
      <c r="W595" s="5"/>
      <c r="X595" s="1"/>
      <c r="Y595" s="5"/>
      <c r="Z595" s="1"/>
      <c r="AG595" s="5"/>
      <c r="AH595" s="5"/>
      <c r="AK595" s="5"/>
      <c r="AM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P595"/>
      <c r="BQ595" s="5"/>
      <c r="BR595"/>
      <c r="BS595">
        <v>6.9000000000000006E-2</v>
      </c>
      <c r="BU595" s="5"/>
      <c r="BW595">
        <v>7.2999999999999995E-2</v>
      </c>
      <c r="BX595" s="5"/>
      <c r="BY595" s="5"/>
      <c r="CA595" s="5"/>
      <c r="CB595" s="5"/>
      <c r="CC595" s="5"/>
      <c r="CD595" s="5"/>
      <c r="CH595" s="44"/>
    </row>
    <row r="596" spans="1:86" x14ac:dyDescent="0.2">
      <c r="A596" s="3" t="s">
        <v>20</v>
      </c>
      <c r="B596" s="39">
        <v>700</v>
      </c>
      <c r="C596" s="82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R596" s="1"/>
      <c r="S596" s="1"/>
      <c r="T596" s="1"/>
      <c r="U596" s="1"/>
      <c r="V596" s="1"/>
      <c r="W596" s="5"/>
      <c r="X596" s="1"/>
      <c r="Y596" s="5"/>
      <c r="Z596" s="1"/>
      <c r="AG596" s="5"/>
      <c r="AH596" s="5"/>
      <c r="AK596" s="5"/>
      <c r="AM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P596"/>
      <c r="BQ596" s="5"/>
      <c r="BR596"/>
      <c r="BS596">
        <v>3.9E-2</v>
      </c>
      <c r="BU596" s="5"/>
      <c r="BW596">
        <v>4.2000000000000003E-2</v>
      </c>
      <c r="BX596" s="5"/>
      <c r="BY596" s="5"/>
      <c r="CA596" s="5"/>
      <c r="CB596" s="5"/>
      <c r="CC596" s="5"/>
      <c r="CD596" s="5"/>
      <c r="CH596" s="44"/>
    </row>
    <row r="597" spans="1:86" x14ac:dyDescent="0.2">
      <c r="A597" s="3" t="s">
        <v>20</v>
      </c>
      <c r="B597" s="39">
        <v>701</v>
      </c>
      <c r="C597" s="82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R597" s="1"/>
      <c r="S597" s="1"/>
      <c r="T597" s="1"/>
      <c r="U597" s="1"/>
      <c r="V597" s="1"/>
      <c r="W597" s="5"/>
      <c r="X597" s="1"/>
      <c r="Y597" s="5"/>
      <c r="Z597" s="1"/>
      <c r="AG597" s="5"/>
      <c r="AH597" s="5"/>
      <c r="AK597" s="5"/>
      <c r="AM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>
        <v>1.9199999999999998E-2</v>
      </c>
      <c r="BH597" s="5">
        <v>2.2100000000000002E-2</v>
      </c>
      <c r="BI597" s="5">
        <v>2.3900000000000001E-2</v>
      </c>
      <c r="BJ597" s="5">
        <v>2.58E-2</v>
      </c>
      <c r="BK597" s="5">
        <v>2.5399999999999999E-2</v>
      </c>
      <c r="BL597" s="5">
        <v>2.81E-2</v>
      </c>
      <c r="BM597" s="5">
        <v>2.7900000000000001E-2</v>
      </c>
      <c r="BN597">
        <v>2.6100000000000002E-2</v>
      </c>
      <c r="BO597">
        <v>2.9100000000000001E-2</v>
      </c>
      <c r="BP597">
        <v>3.1699999999999999E-2</v>
      </c>
      <c r="BQ597" s="5">
        <v>3.2000000000000001E-2</v>
      </c>
      <c r="BR597">
        <v>3.3700000000000001E-2</v>
      </c>
      <c r="BS597">
        <v>3.4799999999999998E-2</v>
      </c>
      <c r="BT597">
        <v>3.4200000000000001E-2</v>
      </c>
      <c r="BU597" s="5">
        <v>3.5700000000000003E-2</v>
      </c>
      <c r="BV597">
        <v>3.44E-2</v>
      </c>
      <c r="BW597">
        <v>3.6299999999999999E-2</v>
      </c>
      <c r="BX597" s="5">
        <v>3.9E-2</v>
      </c>
      <c r="BY597" s="5">
        <v>3.8300000000000001E-2</v>
      </c>
      <c r="BZ597">
        <v>4.0899999999999999E-2</v>
      </c>
      <c r="CA597" s="5"/>
      <c r="CB597" s="5"/>
      <c r="CC597" s="5"/>
      <c r="CD597" s="5"/>
      <c r="CH597" s="44"/>
    </row>
    <row r="598" spans="1:86" x14ac:dyDescent="0.2">
      <c r="A598" s="3" t="s">
        <v>20</v>
      </c>
      <c r="B598" s="39">
        <v>702</v>
      </c>
      <c r="C598" s="82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R598" s="1"/>
      <c r="S598" s="1"/>
      <c r="T598" s="1"/>
      <c r="U598" s="1"/>
      <c r="V598" s="1"/>
      <c r="W598" s="5"/>
      <c r="X598" s="1"/>
      <c r="Y598" s="5"/>
      <c r="Z598" s="1"/>
      <c r="AG598" s="5"/>
      <c r="AH598" s="5"/>
      <c r="AK598" s="5"/>
      <c r="AM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>
        <v>3.4200000000000001E-2</v>
      </c>
      <c r="BI598" s="5">
        <v>3.7199999999999997E-2</v>
      </c>
      <c r="BJ598" s="5">
        <v>4.0099999999999997E-2</v>
      </c>
      <c r="BK598" s="5">
        <v>4.3200000000000002E-2</v>
      </c>
      <c r="BL598" s="5">
        <v>4.7699999999999999E-2</v>
      </c>
      <c r="BM598" s="5">
        <v>5.0500000000000003E-2</v>
      </c>
      <c r="BN598">
        <v>5.4800000000000001E-2</v>
      </c>
      <c r="BO598">
        <v>5.9499999999999997E-2</v>
      </c>
      <c r="BP598">
        <v>6.4699999999999994E-2</v>
      </c>
      <c r="BQ598" s="5">
        <v>6.9199999999999998E-2</v>
      </c>
      <c r="BR598">
        <v>7.3400000000000007E-2</v>
      </c>
      <c r="BS598">
        <v>7.7799999999999994E-2</v>
      </c>
      <c r="BT598">
        <v>8.2299999999999998E-2</v>
      </c>
      <c r="BU598" s="5">
        <v>8.5999999999999993E-2</v>
      </c>
      <c r="BV598">
        <v>9.01E-2</v>
      </c>
      <c r="BW598">
        <v>9.4E-2</v>
      </c>
      <c r="BX598" s="5">
        <v>9.8199999999999996E-2</v>
      </c>
      <c r="BY598" s="5">
        <v>0.1017</v>
      </c>
      <c r="BZ598">
        <v>0.105</v>
      </c>
      <c r="CA598" s="5">
        <v>0.1066</v>
      </c>
      <c r="CB598" s="5">
        <v>0.1077</v>
      </c>
      <c r="CC598" s="5"/>
      <c r="CD598" s="5"/>
      <c r="CH598" s="44"/>
    </row>
    <row r="599" spans="1:86" x14ac:dyDescent="0.2">
      <c r="A599" s="3" t="s">
        <v>20</v>
      </c>
      <c r="B599" s="39">
        <v>703</v>
      </c>
      <c r="C599" s="82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R599" s="1"/>
      <c r="S599" s="1"/>
      <c r="T599" s="1"/>
      <c r="U599" s="1"/>
      <c r="V599" s="1"/>
      <c r="W599" s="5"/>
      <c r="X599" s="1"/>
      <c r="Y599" s="5"/>
      <c r="Z599" s="1"/>
      <c r="AG599" s="5"/>
      <c r="AH599" s="5"/>
      <c r="AK599" s="5"/>
      <c r="AM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P599"/>
      <c r="BQ599" s="5"/>
      <c r="BR599"/>
      <c r="BS599"/>
      <c r="BU599" s="5"/>
      <c r="BX599" s="5">
        <f>91.6/1000</f>
        <v>9.1600000000000001E-2</v>
      </c>
      <c r="BY599" s="5">
        <f>96.9/1000</f>
        <v>9.69E-2</v>
      </c>
      <c r="BZ599">
        <f>102.5/1000</f>
        <v>0.10249999999999999</v>
      </c>
      <c r="CA599" s="5">
        <f>107/1000</f>
        <v>0.107</v>
      </c>
      <c r="CB599" s="5">
        <f>111.6/1000</f>
        <v>0.11159999999999999</v>
      </c>
      <c r="CC599" s="5"/>
      <c r="CD599" s="5"/>
      <c r="CH599" s="44"/>
    </row>
    <row r="600" spans="1:86" s="46" customFormat="1" x14ac:dyDescent="0.2">
      <c r="A600" s="38" t="s">
        <v>20</v>
      </c>
      <c r="B600" s="40">
        <v>704</v>
      </c>
      <c r="C600" s="83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R600" s="53"/>
      <c r="S600" s="53"/>
      <c r="T600" s="53"/>
      <c r="U600" s="53"/>
      <c r="V600" s="53"/>
      <c r="W600" s="48"/>
      <c r="X600" s="53"/>
      <c r="Y600" s="48"/>
      <c r="Z600" s="53"/>
      <c r="AG600" s="48"/>
      <c r="AH600" s="48"/>
      <c r="AK600" s="48"/>
      <c r="AM600" s="48"/>
      <c r="AO600" s="48"/>
      <c r="AP600" s="48"/>
      <c r="AQ600" s="48"/>
      <c r="AR600" s="48"/>
      <c r="AS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Q600" s="48"/>
      <c r="BS600" s="46">
        <v>1.1775000000000001E-2</v>
      </c>
      <c r="BT600" s="46">
        <v>2.4060000000000002E-2</v>
      </c>
      <c r="BU600" s="48">
        <v>3.8640000000000001E-2</v>
      </c>
      <c r="BV600" s="46">
        <v>5.0950000000000002E-2</v>
      </c>
      <c r="BW600" s="46">
        <v>5.7239999999999999E-2</v>
      </c>
      <c r="BX600" s="48">
        <v>5.6710000000000003E-2</v>
      </c>
      <c r="BY600" s="48">
        <v>6.8400000000000002E-2</v>
      </c>
      <c r="BZ600" s="46">
        <v>7.3389999999999997E-2</v>
      </c>
      <c r="CA600" s="48">
        <v>6.6309999999999994E-2</v>
      </c>
      <c r="CB600" s="48"/>
      <c r="CC600" s="48"/>
      <c r="CD600" s="48"/>
      <c r="CH600" s="51"/>
    </row>
    <row r="601" spans="1:86" x14ac:dyDescent="0.2">
      <c r="A601" s="3" t="s">
        <v>21</v>
      </c>
      <c r="B601" s="39">
        <v>705</v>
      </c>
      <c r="C601" s="82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R601" s="1"/>
      <c r="S601" s="1"/>
      <c r="T601" s="1"/>
      <c r="U601" s="1"/>
      <c r="V601" s="1"/>
      <c r="W601" s="5"/>
      <c r="X601" s="1"/>
      <c r="Y601" s="5"/>
      <c r="Z601" s="1"/>
      <c r="AG601" s="5"/>
      <c r="AH601" s="5"/>
      <c r="AK601" s="5"/>
      <c r="AM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>
        <v>3.3999999999999998E-3</v>
      </c>
      <c r="BL601" s="5">
        <v>3.8999999999999998E-3</v>
      </c>
      <c r="BM601" s="5">
        <v>4.1999999999999997E-3</v>
      </c>
      <c r="BN601">
        <v>4.3E-3</v>
      </c>
      <c r="BO601">
        <v>5.0000000000000001E-3</v>
      </c>
      <c r="BP601">
        <v>5.4000000000000003E-3</v>
      </c>
      <c r="BQ601" s="5">
        <v>5.7000000000000002E-3</v>
      </c>
      <c r="BR601">
        <v>6.0000000000000001E-3</v>
      </c>
      <c r="BS601">
        <v>6.1999999999999998E-3</v>
      </c>
      <c r="BT601">
        <v>6.4999999999999997E-3</v>
      </c>
      <c r="BU601" s="5"/>
      <c r="BX601" s="5"/>
      <c r="BY601" s="5"/>
      <c r="CA601" s="5"/>
      <c r="CB601" s="5"/>
      <c r="CC601" s="5"/>
      <c r="CD601" s="5"/>
      <c r="CH601" s="44"/>
    </row>
    <row r="602" spans="1:86" x14ac:dyDescent="0.2">
      <c r="A602" s="3" t="s">
        <v>21</v>
      </c>
      <c r="B602" s="39">
        <v>705</v>
      </c>
      <c r="C602" s="82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R602" s="1"/>
      <c r="S602" s="1"/>
      <c r="T602" s="1"/>
      <c r="U602" s="1"/>
      <c r="V602" s="1"/>
      <c r="W602" s="5"/>
      <c r="X602" s="1"/>
      <c r="Y602" s="5"/>
      <c r="Z602" s="1"/>
      <c r="AG602" s="5"/>
      <c r="AH602" s="5"/>
      <c r="AK602" s="5"/>
      <c r="AM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>
        <v>5.0000000000000001E-3</v>
      </c>
      <c r="BL602" s="5">
        <v>5.4000000000000003E-3</v>
      </c>
      <c r="BM602" s="5">
        <v>5.8999999999999999E-3</v>
      </c>
      <c r="BN602">
        <v>5.8999999999999999E-3</v>
      </c>
      <c r="BO602">
        <v>6.8999999999999999E-3</v>
      </c>
      <c r="BP602">
        <v>7.3000000000000001E-3</v>
      </c>
      <c r="BQ602" s="5">
        <v>7.7000000000000002E-3</v>
      </c>
      <c r="BR602">
        <v>8.0000000000000002E-3</v>
      </c>
      <c r="BS602">
        <v>8.2000000000000007E-3</v>
      </c>
      <c r="BT602">
        <v>8.5000000000000006E-3</v>
      </c>
      <c r="BU602" s="5"/>
      <c r="BX602" s="5"/>
      <c r="BY602" s="5"/>
      <c r="CA602" s="5"/>
      <c r="CB602" s="5"/>
      <c r="CC602" s="5"/>
      <c r="CD602" s="5"/>
      <c r="CH602" s="44"/>
    </row>
    <row r="603" spans="1:86" x14ac:dyDescent="0.2">
      <c r="A603" s="3" t="s">
        <v>21</v>
      </c>
      <c r="B603" s="39">
        <v>706</v>
      </c>
      <c r="C603" s="82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R603" s="1"/>
      <c r="S603" s="1"/>
      <c r="T603" s="1"/>
      <c r="U603" s="1"/>
      <c r="V603" s="1"/>
      <c r="W603" s="5"/>
      <c r="X603" s="1"/>
      <c r="Y603" s="5"/>
      <c r="Z603" s="1"/>
      <c r="AG603" s="5"/>
      <c r="AH603" s="5"/>
      <c r="AK603" s="5"/>
      <c r="AM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>
        <v>3.3999999999999998E-3</v>
      </c>
      <c r="BB603" s="5">
        <v>3.8E-3</v>
      </c>
      <c r="BC603" s="5">
        <v>4.0000000000000001E-3</v>
      </c>
      <c r="BD603" s="5">
        <v>4.3E-3</v>
      </c>
      <c r="BE603" s="5">
        <v>4.4999999999999997E-3</v>
      </c>
      <c r="BF603" s="5">
        <v>4.5999999999999999E-3</v>
      </c>
      <c r="BG603" s="5">
        <v>4.7999999999999996E-3</v>
      </c>
      <c r="BH603" s="5">
        <v>5.0000000000000001E-3</v>
      </c>
      <c r="BI603" s="5">
        <v>5.1000000000000004E-3</v>
      </c>
      <c r="BJ603" s="5">
        <v>5.3E-3</v>
      </c>
      <c r="BK603" s="5">
        <v>5.4000000000000003E-3</v>
      </c>
      <c r="BL603" s="5">
        <v>5.5999999999999999E-3</v>
      </c>
      <c r="BM603" s="5">
        <v>5.8999999999999999E-3</v>
      </c>
      <c r="BN603">
        <v>6.1000000000000004E-3</v>
      </c>
      <c r="BO603">
        <v>6.1999999999999998E-3</v>
      </c>
      <c r="BP603">
        <v>6.4000000000000003E-3</v>
      </c>
      <c r="BQ603" s="5">
        <v>6.4999999999999997E-3</v>
      </c>
      <c r="BR603">
        <v>6.4999999999999997E-3</v>
      </c>
      <c r="BS603">
        <v>6.6E-3</v>
      </c>
      <c r="BT603">
        <v>6.6E-3</v>
      </c>
      <c r="BU603" s="5">
        <v>6.7000000000000002E-3</v>
      </c>
      <c r="BV603">
        <v>6.7000000000000002E-3</v>
      </c>
      <c r="BW603">
        <v>6.6E-3</v>
      </c>
      <c r="BX603" s="5">
        <v>6.6E-3</v>
      </c>
      <c r="BY603" s="5">
        <v>6.7000000000000002E-3</v>
      </c>
      <c r="CA603" s="5"/>
      <c r="CB603" s="5"/>
      <c r="CC603" s="5"/>
      <c r="CD603" s="5"/>
      <c r="CH603" s="44"/>
    </row>
    <row r="604" spans="1:86" s="46" customFormat="1" x14ac:dyDescent="0.2">
      <c r="A604" s="38" t="s">
        <v>21</v>
      </c>
      <c r="B604" s="40">
        <v>707</v>
      </c>
      <c r="C604" s="83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R604" s="53"/>
      <c r="S604" s="53"/>
      <c r="T604" s="53"/>
      <c r="U604" s="53"/>
      <c r="V604" s="53"/>
      <c r="W604" s="48"/>
      <c r="X604" s="53"/>
      <c r="Y604" s="48"/>
      <c r="Z604" s="53"/>
      <c r="AG604" s="48"/>
      <c r="AH604" s="48"/>
      <c r="AK604" s="48"/>
      <c r="AM604" s="48"/>
      <c r="AO604" s="48"/>
      <c r="AP604" s="48"/>
      <c r="AQ604" s="48"/>
      <c r="AR604" s="48"/>
      <c r="AS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8"/>
      <c r="BO604" s="46">
        <v>5.4099999999999999E-3</v>
      </c>
      <c r="BP604" s="46">
        <v>5.5900000000000004E-3</v>
      </c>
      <c r="BQ604" s="48">
        <v>5.7099999999999998E-3</v>
      </c>
      <c r="BR604" s="46">
        <v>5.8199999999999997E-3</v>
      </c>
      <c r="BS604" s="46">
        <v>5.94E-3</v>
      </c>
      <c r="BT604" s="46">
        <v>6.0800000000000003E-3</v>
      </c>
      <c r="BU604" s="48">
        <v>6.2199999999999998E-3</v>
      </c>
      <c r="BV604" s="46">
        <v>6.3699999999999998E-3</v>
      </c>
      <c r="BW604" s="46">
        <v>6.5199999999999998E-3</v>
      </c>
      <c r="BX604" s="48">
        <v>6.9300000000000004E-3</v>
      </c>
      <c r="BY604" s="48">
        <v>7.1300000000000001E-3</v>
      </c>
      <c r="BZ604" s="46">
        <v>7.3099999999999997E-3</v>
      </c>
      <c r="CA604" s="48">
        <v>7.4400000000000004E-3</v>
      </c>
      <c r="CB604" s="48">
        <v>7.5500000000000003E-3</v>
      </c>
      <c r="CC604" s="48">
        <v>7.6899999999999998E-3</v>
      </c>
      <c r="CD604" s="48">
        <v>7.79E-3</v>
      </c>
      <c r="CE604" s="46">
        <v>7.7099999999999998E-3</v>
      </c>
      <c r="CH604" s="51"/>
    </row>
    <row r="605" spans="1:86" x14ac:dyDescent="0.2">
      <c r="A605" s="3" t="s">
        <v>22</v>
      </c>
      <c r="B605" s="39">
        <v>708</v>
      </c>
      <c r="C605" s="82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R605" s="1"/>
      <c r="S605" s="1"/>
      <c r="T605" s="1"/>
      <c r="U605" s="1"/>
      <c r="V605" s="1"/>
      <c r="W605" s="5"/>
      <c r="X605" s="1"/>
      <c r="Y605" s="5"/>
      <c r="Z605" s="1"/>
      <c r="AG605" s="5"/>
      <c r="AH605" s="5"/>
      <c r="AK605" s="5"/>
      <c r="AM605" s="5"/>
      <c r="AO605" s="5"/>
      <c r="AP605" s="5">
        <f>0.45/1000</f>
        <v>4.4999999999999999E-4</v>
      </c>
      <c r="AQ605" s="5"/>
      <c r="AR605" s="5"/>
      <c r="AS605" s="5"/>
      <c r="AU605" s="5"/>
      <c r="AV605" s="5"/>
      <c r="AW605" s="5"/>
      <c r="AX605" s="5"/>
      <c r="AY605" s="5"/>
      <c r="AZ605" s="5">
        <f>0.57/1000</f>
        <v>5.6999999999999998E-4</v>
      </c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P605"/>
      <c r="BQ605" s="5"/>
      <c r="BR605"/>
      <c r="BS605"/>
      <c r="BU605" s="5"/>
      <c r="BX605" s="5"/>
      <c r="BY605" s="5"/>
      <c r="CA605" s="5"/>
      <c r="CB605" s="5"/>
      <c r="CC605" s="5"/>
      <c r="CD605" s="5"/>
      <c r="CH605" s="44"/>
    </row>
    <row r="606" spans="1:86" x14ac:dyDescent="0.2">
      <c r="A606" s="3" t="s">
        <v>22</v>
      </c>
      <c r="B606" s="39">
        <v>709</v>
      </c>
      <c r="C606" s="82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R606" s="1"/>
      <c r="S606" s="1"/>
      <c r="T606" s="1"/>
      <c r="U606" s="1"/>
      <c r="V606" s="1"/>
      <c r="W606" s="5"/>
      <c r="X606" s="1"/>
      <c r="Y606" s="5"/>
      <c r="Z606" s="1"/>
      <c r="AF606">
        <f>147/100000</f>
        <v>1.47E-3</v>
      </c>
      <c r="AG606" s="5"/>
      <c r="AH606" s="5"/>
      <c r="AK606" s="5"/>
      <c r="AM606" s="5"/>
      <c r="AO606" s="5"/>
      <c r="AP606" s="5">
        <f>191/100000</f>
        <v>1.91E-3</v>
      </c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P606"/>
      <c r="BQ606" s="5"/>
      <c r="BR606"/>
      <c r="BS606"/>
      <c r="BU606" s="5"/>
      <c r="BX606" s="5"/>
      <c r="BY606" s="5"/>
      <c r="CA606" s="5"/>
      <c r="CB606" s="5"/>
      <c r="CC606" s="5"/>
      <c r="CD606" s="5"/>
      <c r="CH606" s="44"/>
    </row>
    <row r="607" spans="1:86" x14ac:dyDescent="0.2">
      <c r="A607" s="3" t="s">
        <v>22</v>
      </c>
      <c r="B607" s="39">
        <v>709</v>
      </c>
      <c r="C607" s="82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R607" s="1"/>
      <c r="S607" s="1"/>
      <c r="T607" s="1"/>
      <c r="U607" s="1"/>
      <c r="V607" s="1"/>
      <c r="W607" s="5"/>
      <c r="X607" s="1"/>
      <c r="Y607" s="5"/>
      <c r="Z607" s="1"/>
      <c r="AF607">
        <f>194/100000</f>
        <v>1.9400000000000001E-3</v>
      </c>
      <c r="AG607" s="5"/>
      <c r="AH607" s="5"/>
      <c r="AK607" s="5"/>
      <c r="AM607" s="5"/>
      <c r="AO607" s="5"/>
      <c r="AP607" s="5">
        <f>262/100000</f>
        <v>2.6199999999999999E-3</v>
      </c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P607"/>
      <c r="BQ607" s="5"/>
      <c r="BR607"/>
      <c r="BS607"/>
      <c r="BU607" s="5"/>
      <c r="BX607" s="5"/>
      <c r="BY607" s="5"/>
      <c r="CA607" s="5"/>
      <c r="CB607" s="5"/>
      <c r="CC607" s="5"/>
      <c r="CD607" s="5"/>
      <c r="CH607" s="44"/>
    </row>
    <row r="608" spans="1:86" x14ac:dyDescent="0.2">
      <c r="A608" s="3" t="s">
        <v>22</v>
      </c>
      <c r="B608" s="39">
        <v>710</v>
      </c>
      <c r="C608" s="82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R608" s="1"/>
      <c r="S608" s="1"/>
      <c r="T608" s="1"/>
      <c r="U608" s="1"/>
      <c r="V608" s="1"/>
      <c r="W608" s="5"/>
      <c r="X608" s="1"/>
      <c r="Y608" s="5"/>
      <c r="Z608" s="1"/>
      <c r="AG608" s="5"/>
      <c r="AH608" s="5"/>
      <c r="AK608" s="5"/>
      <c r="AM608" s="5"/>
      <c r="AO608" s="5"/>
      <c r="AP608" s="5"/>
      <c r="AQ608" s="5">
        <f>1.48/1000</f>
        <v>1.48E-3</v>
      </c>
      <c r="AR608" s="5"/>
      <c r="AS608" s="5"/>
      <c r="AT608">
        <f>1.52/1000</f>
        <v>1.5200000000000001E-3</v>
      </c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P608"/>
      <c r="BQ608" s="5"/>
      <c r="BR608"/>
      <c r="BS608"/>
      <c r="BU608" s="5"/>
      <c r="BX608" s="5"/>
      <c r="BY608" s="5"/>
      <c r="CA608" s="5"/>
      <c r="CB608" s="5"/>
      <c r="CC608" s="5"/>
      <c r="CD608" s="5"/>
      <c r="CH608" s="44"/>
    </row>
    <row r="609" spans="1:86" x14ac:dyDescent="0.2">
      <c r="A609" s="3" t="s">
        <v>22</v>
      </c>
      <c r="B609" s="39">
        <v>711</v>
      </c>
      <c r="C609" s="82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R609" s="1"/>
      <c r="S609" s="1"/>
      <c r="T609" s="1"/>
      <c r="U609" s="1"/>
      <c r="V609" s="1"/>
      <c r="W609" s="5"/>
      <c r="X609" s="1"/>
      <c r="Y609" s="5"/>
      <c r="Z609" s="1"/>
      <c r="AG609" s="5"/>
      <c r="AH609" s="5"/>
      <c r="AK609" s="5"/>
      <c r="AM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>
        <f>85.7/100000</f>
        <v>8.5700000000000001E-4</v>
      </c>
      <c r="BC609" s="5">
        <f>90.5/100000</f>
        <v>9.0499999999999999E-4</v>
      </c>
      <c r="BD609" s="5">
        <f>96.4/100000</f>
        <v>9.6400000000000001E-4</v>
      </c>
      <c r="BE609" s="5">
        <f>103.5/100000</f>
        <v>1.0349999999999999E-3</v>
      </c>
      <c r="BF609" s="5">
        <f>109.7/100000</f>
        <v>1.0970000000000001E-3</v>
      </c>
      <c r="BG609" s="5">
        <f>117.4/100000</f>
        <v>1.1740000000000001E-3</v>
      </c>
      <c r="BH609" s="5">
        <f>124.2/100000</f>
        <v>1.242E-3</v>
      </c>
      <c r="BI609" s="5">
        <f>131.5/100000</f>
        <v>1.315E-3</v>
      </c>
      <c r="BJ609" s="5">
        <f>137.8/100000</f>
        <v>1.3780000000000001E-3</v>
      </c>
      <c r="BK609" s="5">
        <f>143.1/100000</f>
        <v>1.431E-3</v>
      </c>
      <c r="BL609" s="5">
        <f>159.25/100000</f>
        <v>1.5924999999999999E-3</v>
      </c>
      <c r="BM609" s="5">
        <f>163.8/100000</f>
        <v>1.6380000000000001E-3</v>
      </c>
      <c r="BN609">
        <f>169.9/100000</f>
        <v>1.699E-3</v>
      </c>
      <c r="BO609">
        <f>174.3/100000</f>
        <v>1.7430000000000002E-3</v>
      </c>
      <c r="BP609"/>
      <c r="BQ609" s="5"/>
      <c r="BR609"/>
      <c r="BS609"/>
      <c r="BU609" s="5"/>
      <c r="BX609" s="5"/>
      <c r="BY609" s="5"/>
      <c r="CA609" s="5"/>
      <c r="CB609" s="5"/>
      <c r="CC609" s="5"/>
      <c r="CD609" s="5"/>
      <c r="CH609" s="44"/>
    </row>
    <row r="610" spans="1:86" x14ac:dyDescent="0.2">
      <c r="A610" s="3" t="s">
        <v>22</v>
      </c>
      <c r="B610" s="39">
        <v>711</v>
      </c>
      <c r="C610" s="82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R610" s="1"/>
      <c r="S610" s="1"/>
      <c r="T610" s="1"/>
      <c r="U610" s="1"/>
      <c r="V610" s="1"/>
      <c r="W610" s="5"/>
      <c r="X610" s="1"/>
      <c r="Y610" s="5"/>
      <c r="Z610" s="1"/>
      <c r="AG610" s="5"/>
      <c r="AH610" s="5"/>
      <c r="AK610" s="5"/>
      <c r="AM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>
        <f>66.2/100000</f>
        <v>6.6200000000000005E-4</v>
      </c>
      <c r="BC610" s="5">
        <f>69.7/100000</f>
        <v>6.9700000000000003E-4</v>
      </c>
      <c r="BD610" s="5">
        <f>73.8/100000</f>
        <v>7.3799999999999994E-4</v>
      </c>
      <c r="BE610" s="5">
        <f>77.1/100000</f>
        <v>7.7099999999999998E-4</v>
      </c>
      <c r="BF610" s="5">
        <f>80/100000</f>
        <v>8.0000000000000004E-4</v>
      </c>
      <c r="BG610" s="5">
        <f>83.3/100000</f>
        <v>8.3299999999999997E-4</v>
      </c>
      <c r="BH610" s="5">
        <f>85.53/100000</f>
        <v>8.5530000000000003E-4</v>
      </c>
      <c r="BI610" s="5">
        <f>90/100000</f>
        <v>8.9999999999999998E-4</v>
      </c>
      <c r="BJ610" s="5">
        <f>94.1/100000</f>
        <v>9.41E-4</v>
      </c>
      <c r="BK610" s="5">
        <f>97.2/100000</f>
        <v>9.7199999999999999E-4</v>
      </c>
      <c r="BL610" s="5">
        <f>106.1/100000</f>
        <v>1.0609999999999999E-3</v>
      </c>
      <c r="BM610" s="5">
        <f>107.2/100000</f>
        <v>1.072E-3</v>
      </c>
      <c r="BN610">
        <f>110.1/100000</f>
        <v>1.101E-3</v>
      </c>
      <c r="BO610">
        <f>112.5/100000</f>
        <v>1.1249999999999999E-3</v>
      </c>
      <c r="BP610"/>
      <c r="BQ610" s="5"/>
      <c r="BR610"/>
      <c r="BS610"/>
      <c r="BU610" s="5"/>
      <c r="BX610" s="5"/>
      <c r="BY610" s="5"/>
      <c r="CA610" s="5"/>
      <c r="CB610" s="5"/>
      <c r="CC610" s="5"/>
      <c r="CD610" s="5"/>
      <c r="CH610" s="44"/>
    </row>
    <row r="611" spans="1:86" x14ac:dyDescent="0.2">
      <c r="A611" s="3" t="s">
        <v>22</v>
      </c>
      <c r="B611" s="39">
        <v>712</v>
      </c>
      <c r="C611" s="82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R611" s="1"/>
      <c r="S611" s="1"/>
      <c r="T611" s="1"/>
      <c r="U611" s="1"/>
      <c r="V611" s="1"/>
      <c r="W611" s="5"/>
      <c r="X611" s="1"/>
      <c r="Y611" s="5"/>
      <c r="Z611" s="1"/>
      <c r="AG611" s="5"/>
      <c r="AH611" s="5"/>
      <c r="AK611" s="5"/>
      <c r="AM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>
        <v>3.3E-3</v>
      </c>
      <c r="BH611" s="5"/>
      <c r="BI611" s="5"/>
      <c r="BJ611" s="5"/>
      <c r="BK611" s="5"/>
      <c r="BL611" s="5"/>
      <c r="BM611" s="5"/>
      <c r="BP611">
        <v>4.1000000000000003E-3</v>
      </c>
      <c r="BQ611" s="5"/>
      <c r="BR611"/>
      <c r="BS611"/>
      <c r="BU611" s="5"/>
      <c r="BX611" s="5"/>
      <c r="BY611" s="5"/>
      <c r="CA611" s="5"/>
      <c r="CB611" s="5"/>
      <c r="CC611" s="5"/>
      <c r="CD611" s="5"/>
      <c r="CH611" s="44"/>
    </row>
    <row r="612" spans="1:86" x14ac:dyDescent="0.2">
      <c r="A612" s="3" t="s">
        <v>22</v>
      </c>
      <c r="B612" s="39">
        <v>713</v>
      </c>
      <c r="C612" s="82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R612" s="1"/>
      <c r="S612" s="1"/>
      <c r="T612" s="1"/>
      <c r="U612" s="1"/>
      <c r="V612" s="1"/>
      <c r="W612" s="5"/>
      <c r="X612" s="1"/>
      <c r="Y612" s="5"/>
      <c r="Z612" s="1"/>
      <c r="AG612" s="5"/>
      <c r="AH612" s="5"/>
      <c r="AK612" s="5"/>
      <c r="AM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>
        <f>100/100000</f>
        <v>1E-3</v>
      </c>
      <c r="BJ612" s="5"/>
      <c r="BK612" s="5"/>
      <c r="BL612" s="5"/>
      <c r="BM612" s="5"/>
      <c r="BP612"/>
      <c r="BQ612" s="5"/>
      <c r="BR612"/>
      <c r="BS612"/>
      <c r="BU612" s="5"/>
      <c r="BV612">
        <f>174.4/100000</f>
        <v>1.7440000000000001E-3</v>
      </c>
      <c r="BX612" s="5"/>
      <c r="BY612" s="5"/>
      <c r="CA612" s="5"/>
      <c r="CB612" s="5"/>
      <c r="CC612" s="5"/>
      <c r="CD612" s="5"/>
      <c r="CH612" s="44"/>
    </row>
    <row r="613" spans="1:86" x14ac:dyDescent="0.2">
      <c r="A613" s="3" t="s">
        <v>22</v>
      </c>
      <c r="B613" s="39">
        <v>714</v>
      </c>
      <c r="C613" s="82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R613" s="1"/>
      <c r="S613" s="1"/>
      <c r="T613" s="1"/>
      <c r="U613" s="1"/>
      <c r="V613" s="1"/>
      <c r="W613" s="5"/>
      <c r="X613" s="1"/>
      <c r="Y613" s="5"/>
      <c r="Z613" s="1"/>
      <c r="AG613" s="5"/>
      <c r="AH613" s="5"/>
      <c r="AK613" s="5"/>
      <c r="AM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>
        <v>1.8E-3</v>
      </c>
      <c r="BP613"/>
      <c r="BQ613" s="5"/>
      <c r="BR613"/>
      <c r="BS613"/>
      <c r="BU613" s="5"/>
      <c r="BX613" s="5">
        <v>2.3E-3</v>
      </c>
      <c r="BY613" s="5"/>
      <c r="CA613" s="5"/>
      <c r="CB613" s="5"/>
      <c r="CC613" s="5"/>
      <c r="CD613" s="5"/>
      <c r="CH613" s="44"/>
    </row>
    <row r="614" spans="1:86" x14ac:dyDescent="0.2">
      <c r="A614" s="3" t="s">
        <v>22</v>
      </c>
      <c r="B614" s="39">
        <v>715</v>
      </c>
      <c r="C614" s="82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R614" s="1"/>
      <c r="S614" s="1"/>
      <c r="T614" s="1"/>
      <c r="U614" s="1"/>
      <c r="V614" s="1"/>
      <c r="W614" s="5"/>
      <c r="X614" s="1"/>
      <c r="Y614" s="5"/>
      <c r="Z614" s="1"/>
      <c r="AG614" s="5"/>
      <c r="AH614" s="5"/>
      <c r="AK614" s="5"/>
      <c r="AM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P614"/>
      <c r="BQ614" s="5"/>
      <c r="BR614">
        <f>32.85/100000</f>
        <v>3.2850000000000002E-4</v>
      </c>
      <c r="BS614"/>
      <c r="BU614" s="5"/>
      <c r="BX614" s="5"/>
      <c r="BY614" s="5"/>
      <c r="CA614" s="5"/>
      <c r="CB614" s="5">
        <f>41.03/100000</f>
        <v>4.103E-4</v>
      </c>
      <c r="CC614" s="5"/>
      <c r="CD614" s="5"/>
      <c r="CH614" s="44"/>
    </row>
    <row r="615" spans="1:86" x14ac:dyDescent="0.2">
      <c r="A615" s="3" t="s">
        <v>22</v>
      </c>
      <c r="B615" s="39">
        <v>716</v>
      </c>
      <c r="C615" s="82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R615" s="1"/>
      <c r="S615" s="1"/>
      <c r="T615" s="1"/>
      <c r="U615" s="1"/>
      <c r="V615" s="1"/>
      <c r="W615" s="5"/>
      <c r="X615" s="1"/>
      <c r="Y615" s="5"/>
      <c r="Z615" s="1"/>
      <c r="AG615" s="5"/>
      <c r="AH615" s="5"/>
      <c r="AK615" s="5"/>
      <c r="AM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>
        <v>4.7000000000000002E-3</v>
      </c>
      <c r="BH615" s="5">
        <v>4.7999999999999996E-3</v>
      </c>
      <c r="BI615" s="5">
        <v>4.8999999999999998E-3</v>
      </c>
      <c r="BJ615" s="5">
        <v>5.0000000000000001E-3</v>
      </c>
      <c r="BK615" s="5">
        <v>5.1000000000000004E-3</v>
      </c>
      <c r="BL615" s="5">
        <v>5.1000000000000004E-3</v>
      </c>
      <c r="BM615" s="5">
        <v>5.1999999999999998E-3</v>
      </c>
      <c r="BN615">
        <v>5.1999999999999998E-3</v>
      </c>
      <c r="BO615">
        <v>5.1999999999999998E-3</v>
      </c>
      <c r="BP615">
        <v>5.1999999999999998E-3</v>
      </c>
      <c r="BQ615" s="5">
        <v>5.1999999999999998E-3</v>
      </c>
      <c r="BR615">
        <v>5.1999999999999998E-3</v>
      </c>
      <c r="BS615">
        <v>5.3E-3</v>
      </c>
      <c r="BT615">
        <v>5.3E-3</v>
      </c>
      <c r="BU615" s="5">
        <v>5.3E-3</v>
      </c>
      <c r="BV615">
        <v>5.3E-3</v>
      </c>
      <c r="BW615">
        <v>5.4000000000000003E-3</v>
      </c>
      <c r="BX615" s="5">
        <v>5.4000000000000003E-3</v>
      </c>
      <c r="BY615" s="5">
        <v>5.4000000000000003E-3</v>
      </c>
      <c r="BZ615">
        <v>5.4000000000000003E-3</v>
      </c>
      <c r="CA615" s="5">
        <v>5.4000000000000003E-3</v>
      </c>
      <c r="CB615" s="5">
        <v>5.4000000000000003E-3</v>
      </c>
      <c r="CC615" s="5"/>
      <c r="CD615" s="5"/>
      <c r="CH615" s="44"/>
    </row>
    <row r="616" spans="1:86" x14ac:dyDescent="0.2">
      <c r="A616" s="3" t="s">
        <v>22</v>
      </c>
      <c r="B616" s="39">
        <v>716</v>
      </c>
      <c r="C616" s="82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R616" s="1"/>
      <c r="S616" s="1"/>
      <c r="T616" s="1"/>
      <c r="U616" s="1"/>
      <c r="V616" s="1"/>
      <c r="W616" s="5"/>
      <c r="X616" s="1"/>
      <c r="Y616" s="5"/>
      <c r="Z616" s="1"/>
      <c r="AG616" s="5"/>
      <c r="AH616" s="5"/>
      <c r="AK616" s="5"/>
      <c r="AM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>
        <v>3.5999999999999999E-3</v>
      </c>
      <c r="BH616" s="5">
        <v>3.7000000000000002E-3</v>
      </c>
      <c r="BI616" s="5">
        <v>3.7000000000000002E-3</v>
      </c>
      <c r="BJ616" s="5">
        <v>3.8E-3</v>
      </c>
      <c r="BK616" s="5">
        <v>3.8E-3</v>
      </c>
      <c r="BL616" s="5">
        <v>3.8E-3</v>
      </c>
      <c r="BM616" s="5">
        <v>3.8E-3</v>
      </c>
      <c r="BN616">
        <v>3.8E-3</v>
      </c>
      <c r="BO616">
        <v>3.8E-3</v>
      </c>
      <c r="BP616">
        <v>3.8999999999999998E-3</v>
      </c>
      <c r="BQ616" s="5">
        <v>3.8999999999999998E-3</v>
      </c>
      <c r="BR616">
        <v>3.8999999999999998E-3</v>
      </c>
      <c r="BS616">
        <v>3.8999999999999998E-3</v>
      </c>
      <c r="BT616">
        <v>3.8999999999999998E-3</v>
      </c>
      <c r="BU616" s="5">
        <v>3.8999999999999998E-3</v>
      </c>
      <c r="BV616">
        <v>3.8999999999999998E-3</v>
      </c>
      <c r="BW616">
        <v>4.0000000000000001E-3</v>
      </c>
      <c r="BX616" s="5">
        <v>4.0000000000000001E-3</v>
      </c>
      <c r="BY616" s="5">
        <v>4.0000000000000001E-3</v>
      </c>
      <c r="BZ616">
        <v>4.1000000000000003E-3</v>
      </c>
      <c r="CA616" s="5">
        <v>4.1000000000000003E-3</v>
      </c>
      <c r="CB616" s="5">
        <v>4.1000000000000003E-3</v>
      </c>
      <c r="CC616" s="5"/>
      <c r="CD616" s="5"/>
      <c r="CH616" s="44"/>
    </row>
    <row r="617" spans="1:86" x14ac:dyDescent="0.2">
      <c r="A617" s="3" t="s">
        <v>22</v>
      </c>
      <c r="B617" s="39">
        <v>717</v>
      </c>
      <c r="C617" s="82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R617" s="1"/>
      <c r="S617" s="1"/>
      <c r="T617" s="1"/>
      <c r="U617" s="1"/>
      <c r="V617" s="1"/>
      <c r="W617" s="5"/>
      <c r="X617" s="1"/>
      <c r="Y617" s="5"/>
      <c r="Z617" s="1"/>
      <c r="AG617" s="5"/>
      <c r="AH617" s="5"/>
      <c r="AK617" s="5"/>
      <c r="AM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>
        <f>87.7/100000</f>
        <v>8.7700000000000007E-4</v>
      </c>
      <c r="BO617">
        <f>89.2/100000</f>
        <v>8.92E-4</v>
      </c>
      <c r="BP617">
        <f>93.3/100000</f>
        <v>9.3300000000000002E-4</v>
      </c>
      <c r="BQ617" s="5">
        <f>96.8/100000</f>
        <v>9.68E-4</v>
      </c>
      <c r="BR617">
        <f>100.7/100000</f>
        <v>1.0070000000000001E-3</v>
      </c>
      <c r="BS617">
        <f>102.3/100000</f>
        <v>1.023E-3</v>
      </c>
      <c r="BT617">
        <f>99.2/100000</f>
        <v>9.9200000000000004E-4</v>
      </c>
      <c r="BU617" s="5">
        <f>98.1/100000</f>
        <v>9.8099999999999988E-4</v>
      </c>
      <c r="BV617">
        <f>105.3/100000</f>
        <v>1.0529999999999999E-3</v>
      </c>
      <c r="BW617">
        <f>111/100000</f>
        <v>1.1100000000000001E-3</v>
      </c>
      <c r="BX617" s="5">
        <f>112.5/100000</f>
        <v>1.1249999999999999E-3</v>
      </c>
      <c r="BY617" s="5">
        <f>116.6/100000</f>
        <v>1.1659999999999999E-3</v>
      </c>
      <c r="BZ617">
        <f>115.5/100000</f>
        <v>1.155E-3</v>
      </c>
      <c r="CA617" s="5">
        <f>115.7/100000</f>
        <v>1.157E-3</v>
      </c>
      <c r="CB617" s="5">
        <f>113.7/100000</f>
        <v>1.137E-3</v>
      </c>
      <c r="CC617" s="5">
        <f>113.9/100000</f>
        <v>1.139E-3</v>
      </c>
      <c r="CD617" s="5">
        <f>116.2/100000</f>
        <v>1.1620000000000001E-3</v>
      </c>
      <c r="CH617" s="44"/>
    </row>
    <row r="618" spans="1:86" x14ac:dyDescent="0.2">
      <c r="A618" s="3" t="s">
        <v>22</v>
      </c>
      <c r="B618" s="39">
        <v>718</v>
      </c>
      <c r="C618" s="82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R618" s="1"/>
      <c r="S618" s="1"/>
      <c r="T618" s="1"/>
      <c r="U618" s="1"/>
      <c r="V618" s="1"/>
      <c r="W618" s="5"/>
      <c r="X618" s="1"/>
      <c r="Y618" s="5"/>
      <c r="Z618" s="1"/>
      <c r="AG618" s="5"/>
      <c r="AH618" s="5"/>
      <c r="AK618" s="5"/>
      <c r="AM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>
        <f>1.48/1000</f>
        <v>1.48E-3</v>
      </c>
      <c r="BM618" s="5"/>
      <c r="BP618"/>
      <c r="BQ618" s="5"/>
      <c r="BR618"/>
      <c r="BS618"/>
      <c r="BT618">
        <f>1.93/1000</f>
        <v>1.9299999999999999E-3</v>
      </c>
      <c r="BU618" s="5"/>
      <c r="BX618" s="5"/>
      <c r="BY618" s="5"/>
      <c r="CA618" s="5"/>
      <c r="CB618" s="5">
        <f>2.15/1000</f>
        <v>2.15E-3</v>
      </c>
      <c r="CC618" s="5"/>
      <c r="CD618" s="5"/>
      <c r="CH618" s="44"/>
    </row>
    <row r="619" spans="1:86" x14ac:dyDescent="0.2">
      <c r="A619" s="3" t="s">
        <v>22</v>
      </c>
      <c r="B619" s="39">
        <v>719</v>
      </c>
      <c r="C619" s="82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R619" s="1"/>
      <c r="S619" s="1"/>
      <c r="T619" s="1"/>
      <c r="U619" s="1"/>
      <c r="V619" s="1"/>
      <c r="W619" s="5"/>
      <c r="X619" s="1"/>
      <c r="Y619" s="5"/>
      <c r="Z619" s="1"/>
      <c r="AG619" s="5"/>
      <c r="AH619" s="5"/>
      <c r="AK619" s="5"/>
      <c r="AM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>
        <f>14/100000</f>
        <v>1.3999999999999999E-4</v>
      </c>
      <c r="BN619">
        <f>12.7/100000</f>
        <v>1.27E-4</v>
      </c>
      <c r="BO619">
        <f>13.8/100000</f>
        <v>1.3800000000000002E-4</v>
      </c>
      <c r="BP619">
        <f>16.1/100000</f>
        <v>1.6100000000000001E-4</v>
      </c>
      <c r="BQ619" s="5">
        <f>19.1/100000</f>
        <v>1.9100000000000001E-4</v>
      </c>
      <c r="BR619">
        <f>21/100000</f>
        <v>2.1000000000000001E-4</v>
      </c>
      <c r="BS619">
        <f>21.7/100000</f>
        <v>2.1699999999999999E-4</v>
      </c>
      <c r="BT619">
        <f>20.4/100000</f>
        <v>2.04E-4</v>
      </c>
      <c r="BU619" s="5">
        <f>19.2/100000</f>
        <v>1.92E-4</v>
      </c>
      <c r="BV619">
        <f>15.9/100000</f>
        <v>1.5900000000000002E-4</v>
      </c>
      <c r="BW619">
        <f>17.1/100000</f>
        <v>1.7100000000000001E-4</v>
      </c>
      <c r="BX619" s="5">
        <f>19.2/100000</f>
        <v>1.92E-4</v>
      </c>
      <c r="BY619" s="5">
        <f>17.9/100000</f>
        <v>1.7899999999999999E-4</v>
      </c>
      <c r="BZ619">
        <f>15.1/100000</f>
        <v>1.5099999999999998E-4</v>
      </c>
      <c r="CA619" s="5">
        <f>14.3/100000</f>
        <v>1.4300000000000001E-4</v>
      </c>
      <c r="CB619" s="5">
        <f>14.7/100000</f>
        <v>1.47E-4</v>
      </c>
      <c r="CC619" s="5">
        <f>15.3/100000</f>
        <v>1.5300000000000001E-4</v>
      </c>
      <c r="CD619" s="5"/>
      <c r="CH619" s="44"/>
    </row>
    <row r="620" spans="1:86" x14ac:dyDescent="0.2">
      <c r="A620" s="3" t="s">
        <v>22</v>
      </c>
      <c r="B620" s="39">
        <v>720</v>
      </c>
      <c r="C620" s="82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R620" s="1"/>
      <c r="S620" s="1"/>
      <c r="T620" s="1"/>
      <c r="U620" s="1"/>
      <c r="V620" s="1"/>
      <c r="W620" s="5"/>
      <c r="X620" s="1"/>
      <c r="Y620" s="5"/>
      <c r="Z620" s="1"/>
      <c r="AG620" s="5"/>
      <c r="AH620" s="5"/>
      <c r="AK620" s="5"/>
      <c r="AM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P620"/>
      <c r="BQ620" s="5"/>
      <c r="BR620">
        <f>0.43/100000</f>
        <v>4.3000000000000003E-6</v>
      </c>
      <c r="BS620"/>
      <c r="BU620" s="5"/>
      <c r="BX620" s="5"/>
      <c r="BY620" s="5"/>
      <c r="CA620" s="5"/>
      <c r="CB620" s="5"/>
      <c r="CC620" s="5"/>
      <c r="CD620" s="5">
        <f>2.9/100000</f>
        <v>2.9E-5</v>
      </c>
      <c r="CH620" s="44"/>
    </row>
    <row r="621" spans="1:86" x14ac:dyDescent="0.2">
      <c r="A621" s="3" t="s">
        <v>22</v>
      </c>
      <c r="B621" s="39">
        <v>721</v>
      </c>
      <c r="C621" s="82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R621" s="1"/>
      <c r="S621" s="1"/>
      <c r="T621" s="1"/>
      <c r="U621" s="1"/>
      <c r="V621" s="1"/>
      <c r="W621" s="5"/>
      <c r="X621" s="1"/>
      <c r="Y621" s="5"/>
      <c r="Z621" s="1"/>
      <c r="AG621" s="5"/>
      <c r="AH621" s="5"/>
      <c r="AK621" s="5"/>
      <c r="AM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>
        <f>147.3/100000</f>
        <v>1.4730000000000001E-3</v>
      </c>
      <c r="BN621">
        <f>157.8/100000</f>
        <v>1.5780000000000002E-3</v>
      </c>
      <c r="BO621">
        <f>166.9/100000</f>
        <v>1.6690000000000001E-3</v>
      </c>
      <c r="BP621">
        <f>174.7/100000</f>
        <v>1.7469999999999999E-3</v>
      </c>
      <c r="BQ621" s="5">
        <f>183.8/100000</f>
        <v>1.838E-3</v>
      </c>
      <c r="BR621">
        <f>192.2/100000</f>
        <v>1.9219999999999999E-3</v>
      </c>
      <c r="BS621">
        <f>199.4/100000</f>
        <v>1.9940000000000001E-3</v>
      </c>
      <c r="BT621">
        <f>207.6/100000</f>
        <v>2.0760000000000002E-3</v>
      </c>
      <c r="BU621" s="5">
        <f>213.2/100000</f>
        <v>2.1319999999999998E-3</v>
      </c>
      <c r="BV621">
        <f>222.1/100000</f>
        <v>2.2209999999999999E-3</v>
      </c>
      <c r="BW621">
        <f>228.2/100000</f>
        <v>2.2819999999999997E-3</v>
      </c>
      <c r="BX621" s="5">
        <f>232.3/100000</f>
        <v>2.323E-3</v>
      </c>
      <c r="BY621" s="5">
        <f>235.6/100000</f>
        <v>2.356E-3</v>
      </c>
      <c r="BZ621">
        <f>233/100000</f>
        <v>2.33E-3</v>
      </c>
      <c r="CA621" s="5">
        <f>237.2/100000</f>
        <v>2.372E-3</v>
      </c>
      <c r="CB621" s="5">
        <f>237.4/100000</f>
        <v>2.3740000000000002E-3</v>
      </c>
      <c r="CC621" s="5">
        <f>240.3/100000</f>
        <v>2.4030000000000002E-3</v>
      </c>
      <c r="CD621" s="5">
        <f>243.5/100000</f>
        <v>2.4350000000000001E-3</v>
      </c>
      <c r="CE621">
        <f>246.9/100000</f>
        <v>2.4689999999999998E-3</v>
      </c>
      <c r="CH621" s="44"/>
    </row>
    <row r="622" spans="1:86" x14ac:dyDescent="0.2">
      <c r="A622" s="3" t="s">
        <v>22</v>
      </c>
      <c r="B622" s="39">
        <v>722</v>
      </c>
      <c r="C622" s="82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R622" s="1"/>
      <c r="S622" s="1"/>
      <c r="T622" s="1"/>
      <c r="U622" s="1"/>
      <c r="V622" s="1"/>
      <c r="W622" s="5"/>
      <c r="X622" s="1"/>
      <c r="Y622" s="5"/>
      <c r="Z622" s="1"/>
      <c r="AG622" s="5"/>
      <c r="AH622" s="5"/>
      <c r="AK622" s="5"/>
      <c r="AM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P622"/>
      <c r="BQ622" s="5"/>
      <c r="BR622"/>
      <c r="BS622"/>
      <c r="BU622" s="5"/>
      <c r="BX622" s="5"/>
      <c r="BY622" s="5"/>
      <c r="BZ622">
        <f>17.6/100000</f>
        <v>1.7600000000000002E-4</v>
      </c>
      <c r="CA622" s="5"/>
      <c r="CB622" s="5"/>
      <c r="CC622" s="5"/>
      <c r="CD622" s="5"/>
      <c r="CE622">
        <f>29.5/100000</f>
        <v>2.9500000000000001E-4</v>
      </c>
      <c r="CH622" s="44"/>
    </row>
    <row r="623" spans="1:86" x14ac:dyDescent="0.2">
      <c r="A623" s="3" t="s">
        <v>22</v>
      </c>
      <c r="B623" s="39">
        <v>723</v>
      </c>
      <c r="C623" s="82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R623" s="1"/>
      <c r="S623" s="1"/>
      <c r="T623" s="1"/>
      <c r="U623" s="1"/>
      <c r="V623" s="1"/>
      <c r="W623" s="5"/>
      <c r="X623" s="1"/>
      <c r="Y623" s="5"/>
      <c r="Z623" s="1"/>
      <c r="AG623" s="5"/>
      <c r="AH623" s="5"/>
      <c r="AK623" s="5"/>
      <c r="AM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>
        <f>145.9/100000</f>
        <v>1.459E-3</v>
      </c>
      <c r="BP623"/>
      <c r="BQ623" s="5"/>
      <c r="BR623"/>
      <c r="BS623">
        <f>210.7/100000</f>
        <v>2.1069999999999999E-3</v>
      </c>
      <c r="BU623" s="5"/>
      <c r="BX623" s="5"/>
      <c r="BY623" s="5">
        <f>247.9/100000</f>
        <v>2.4789999999999999E-3</v>
      </c>
      <c r="CA623" s="5"/>
      <c r="CB623" s="5"/>
      <c r="CC623" s="5"/>
      <c r="CD623" s="5"/>
      <c r="CE623">
        <f>245.6/100000</f>
        <v>2.4559999999999998E-3</v>
      </c>
      <c r="CH623" s="44"/>
    </row>
    <row r="624" spans="1:86" x14ac:dyDescent="0.2">
      <c r="A624" s="3" t="s">
        <v>22</v>
      </c>
      <c r="B624" s="39">
        <v>724</v>
      </c>
      <c r="C624" s="82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R624" s="1"/>
      <c r="S624" s="1"/>
      <c r="T624" s="1"/>
      <c r="U624" s="1"/>
      <c r="V624" s="1"/>
      <c r="W624" s="5"/>
      <c r="X624" s="1"/>
      <c r="Y624" s="5"/>
      <c r="Z624" s="1"/>
      <c r="AG624" s="5"/>
      <c r="AH624" s="5"/>
      <c r="AK624" s="5"/>
      <c r="AM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P624"/>
      <c r="BQ624" s="5">
        <v>5.1999999999999998E-3</v>
      </c>
      <c r="BR624"/>
      <c r="BS624"/>
      <c r="BU624" s="5"/>
      <c r="BX624" s="5"/>
      <c r="BY624" s="5"/>
      <c r="CA624" s="5"/>
      <c r="CB624" s="5"/>
      <c r="CC624" s="5"/>
      <c r="CD624" s="5">
        <v>6.1000000000000004E-3</v>
      </c>
      <c r="CH624" s="44"/>
    </row>
    <row r="625" spans="1:86" x14ac:dyDescent="0.2">
      <c r="A625" s="3" t="s">
        <v>22</v>
      </c>
      <c r="B625" s="39">
        <v>725</v>
      </c>
      <c r="C625" s="82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R625" s="1"/>
      <c r="S625" s="1">
        <f>0.1/1000</f>
        <v>1E-4</v>
      </c>
      <c r="T625" s="1"/>
      <c r="U625" s="1"/>
      <c r="V625" s="1"/>
      <c r="W625" s="5"/>
      <c r="X625" s="1"/>
      <c r="Y625" s="5"/>
      <c r="Z625" s="1"/>
      <c r="AE625">
        <f>0.6/1000</f>
        <v>5.9999999999999995E-4</v>
      </c>
      <c r="AG625" s="5"/>
      <c r="AH625" s="5"/>
      <c r="AK625" s="5"/>
      <c r="AM625" s="5"/>
      <c r="AO625" s="5"/>
      <c r="AP625" s="5"/>
      <c r="AQ625" s="5">
        <f>1.3/1000</f>
        <v>1.2999999999999999E-3</v>
      </c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P625"/>
      <c r="BQ625" s="5"/>
      <c r="BR625"/>
      <c r="BS625"/>
      <c r="BU625" s="5"/>
      <c r="BX625" s="5"/>
      <c r="BY625" s="5"/>
      <c r="CA625" s="5"/>
      <c r="CB625" s="5"/>
      <c r="CC625" s="5"/>
      <c r="CD625" s="5"/>
      <c r="CH625" s="44"/>
    </row>
    <row r="626" spans="1:86" x14ac:dyDescent="0.2">
      <c r="A626" s="3" t="s">
        <v>22</v>
      </c>
      <c r="B626" s="39">
        <v>726</v>
      </c>
      <c r="C626" s="82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R626" s="1"/>
      <c r="S626" s="1"/>
      <c r="T626" s="1"/>
      <c r="U626" s="1"/>
      <c r="V626" s="1"/>
      <c r="W626" s="5"/>
      <c r="X626" s="1"/>
      <c r="Y626" s="5"/>
      <c r="Z626" s="1"/>
      <c r="AG626" s="5"/>
      <c r="AH626" s="5"/>
      <c r="AK626" s="5"/>
      <c r="AM626" s="5"/>
      <c r="AO626" s="5"/>
      <c r="AP626" s="5"/>
      <c r="AQ626" s="5"/>
      <c r="AR626" s="5"/>
      <c r="AS626" s="5">
        <f>1/1000</f>
        <v>1E-3</v>
      </c>
      <c r="AU626" s="5"/>
      <c r="AV626" s="5"/>
      <c r="AW626" s="5">
        <f>1.05/1000</f>
        <v>1.0500000000000002E-3</v>
      </c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P626"/>
      <c r="BQ626" s="5"/>
      <c r="BR626"/>
      <c r="BS626"/>
      <c r="BU626" s="5"/>
      <c r="BX626" s="5"/>
      <c r="BY626" s="5"/>
      <c r="CA626" s="5"/>
      <c r="CB626" s="5"/>
      <c r="CC626" s="5"/>
      <c r="CD626" s="5"/>
      <c r="CH626" s="44"/>
    </row>
    <row r="627" spans="1:86" x14ac:dyDescent="0.2">
      <c r="A627" s="3" t="s">
        <v>22</v>
      </c>
      <c r="B627" s="39">
        <v>727</v>
      </c>
      <c r="C627" s="82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R627" s="1"/>
      <c r="S627" s="1"/>
      <c r="T627" s="1"/>
      <c r="U627" s="1"/>
      <c r="V627" s="1"/>
      <c r="W627" s="5"/>
      <c r="X627" s="1"/>
      <c r="Y627" s="5"/>
      <c r="Z627" s="1"/>
      <c r="AG627" s="5"/>
      <c r="AH627" s="5"/>
      <c r="AI627">
        <f>3.2/1000</f>
        <v>3.2000000000000002E-3</v>
      </c>
      <c r="AK627" s="5">
        <f>3.5/1000</f>
        <v>3.5000000000000001E-3</v>
      </c>
      <c r="AM627" s="5"/>
      <c r="AN627">
        <f>3.1/1000</f>
        <v>3.0999999999999999E-3</v>
      </c>
      <c r="AO627" s="5"/>
      <c r="AP627" s="5"/>
      <c r="AQ627" s="5">
        <f>3.4/1000</f>
        <v>3.3999999999999998E-3</v>
      </c>
      <c r="AR627" s="5"/>
      <c r="AS627" s="5">
        <f>4/1000</f>
        <v>4.0000000000000001E-3</v>
      </c>
      <c r="AT627">
        <f>4.3/1000</f>
        <v>4.3E-3</v>
      </c>
      <c r="AU627" s="5"/>
      <c r="AV627" s="5"/>
      <c r="AW627" s="5">
        <f>4.9/1000</f>
        <v>4.9000000000000007E-3</v>
      </c>
      <c r="AX627" s="5">
        <f>4.9/1000</f>
        <v>4.9000000000000007E-3</v>
      </c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P627"/>
      <c r="BQ627" s="5"/>
      <c r="BR627"/>
      <c r="BS627"/>
      <c r="BU627" s="5"/>
      <c r="BX627" s="5"/>
      <c r="BY627" s="5"/>
      <c r="CA627" s="5"/>
      <c r="CB627" s="5"/>
      <c r="CC627" s="5"/>
      <c r="CD627" s="5"/>
      <c r="CH627" s="44"/>
    </row>
    <row r="628" spans="1:86" x14ac:dyDescent="0.2">
      <c r="A628" s="3" t="s">
        <v>22</v>
      </c>
      <c r="B628" s="39">
        <v>727</v>
      </c>
      <c r="C628" s="82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R628" s="1"/>
      <c r="S628" s="1"/>
      <c r="T628" s="1"/>
      <c r="U628" s="1"/>
      <c r="V628" s="1"/>
      <c r="W628" s="5"/>
      <c r="X628" s="1"/>
      <c r="Y628" s="5"/>
      <c r="Z628" s="1"/>
      <c r="AG628" s="5"/>
      <c r="AH628" s="5"/>
      <c r="AI628">
        <f>2.3/1000</f>
        <v>2.3E-3</v>
      </c>
      <c r="AK628" s="5">
        <f>3.1/1000</f>
        <v>3.0999999999999999E-3</v>
      </c>
      <c r="AM628" s="5"/>
      <c r="AN628">
        <f>3.5/1000</f>
        <v>3.5000000000000001E-3</v>
      </c>
      <c r="AO628" s="5"/>
      <c r="AP628" s="5"/>
      <c r="AQ628" s="5">
        <f>3.1/1000</f>
        <v>3.0999999999999999E-3</v>
      </c>
      <c r="AR628" s="5"/>
      <c r="AS628" s="5">
        <f>3.2/1000</f>
        <v>3.2000000000000002E-3</v>
      </c>
      <c r="AT628">
        <f>3.2/1000</f>
        <v>3.2000000000000002E-3</v>
      </c>
      <c r="AU628" s="5"/>
      <c r="AV628" s="5"/>
      <c r="AW628" s="5">
        <f>4.1/1000</f>
        <v>4.0999999999999995E-3</v>
      </c>
      <c r="AX628" s="5">
        <f>4.4/1000</f>
        <v>4.4000000000000003E-3</v>
      </c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P628"/>
      <c r="BQ628" s="5"/>
      <c r="BR628"/>
      <c r="BS628"/>
      <c r="BU628" s="5"/>
      <c r="BX628" s="5"/>
      <c r="BY628" s="5"/>
      <c r="CA628" s="5"/>
      <c r="CB628" s="5"/>
      <c r="CC628" s="5"/>
      <c r="CD628" s="5"/>
      <c r="CH628" s="44"/>
    </row>
    <row r="629" spans="1:86" x14ac:dyDescent="0.2">
      <c r="A629" s="3" t="s">
        <v>22</v>
      </c>
      <c r="B629" s="39">
        <v>728</v>
      </c>
      <c r="C629" s="82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R629" s="1"/>
      <c r="S629" s="1"/>
      <c r="T629" s="1"/>
      <c r="U629" s="1"/>
      <c r="V629" s="1"/>
      <c r="W629" s="5">
        <f>0.089/1000</f>
        <v>8.8999999999999995E-5</v>
      </c>
      <c r="X629" s="1"/>
      <c r="Y629" s="5"/>
      <c r="Z629" s="1"/>
      <c r="AB629">
        <f>0.015/1000</f>
        <v>1.4999999999999999E-5</v>
      </c>
      <c r="AG629" s="5">
        <f>0.71/1000</f>
        <v>7.0999999999999991E-4</v>
      </c>
      <c r="AH629" s="5"/>
      <c r="AK629" s="5"/>
      <c r="AL629">
        <f>1.02/1000</f>
        <v>1.0200000000000001E-3</v>
      </c>
      <c r="AM629" s="5"/>
      <c r="AO629" s="5"/>
      <c r="AP629" s="5"/>
      <c r="AQ629" s="5">
        <f>1.25/1000</f>
        <v>1.25E-3</v>
      </c>
      <c r="AR629" s="5"/>
      <c r="AS629" s="5"/>
      <c r="AU629" s="5"/>
      <c r="AV629" s="5">
        <f>1.6/1000</f>
        <v>1.6000000000000001E-3</v>
      </c>
      <c r="AW629" s="5"/>
      <c r="AX629" s="5"/>
      <c r="AY629" s="5"/>
      <c r="AZ629" s="5">
        <f>2.85/1000</f>
        <v>2.8500000000000001E-3</v>
      </c>
      <c r="BA629" s="5"/>
      <c r="BB629" s="5"/>
      <c r="BC629" s="5"/>
      <c r="BD629" s="5">
        <f>2.3/1000</f>
        <v>2.3E-3</v>
      </c>
      <c r="BE629" s="5"/>
      <c r="BF629" s="5"/>
      <c r="BG629" s="5"/>
      <c r="BH629" s="5"/>
      <c r="BI629" s="5"/>
      <c r="BJ629" s="5"/>
      <c r="BK629" s="5"/>
      <c r="BL629" s="5"/>
      <c r="BM629" s="5"/>
      <c r="BP629"/>
      <c r="BQ629" s="5"/>
      <c r="BR629"/>
      <c r="BS629"/>
      <c r="BU629" s="5"/>
      <c r="BX629" s="5"/>
      <c r="BY629" s="5"/>
      <c r="CA629" s="5"/>
      <c r="CB629" s="5"/>
      <c r="CC629" s="5"/>
      <c r="CD629" s="5"/>
      <c r="CH629" s="44"/>
    </row>
    <row r="630" spans="1:86" x14ac:dyDescent="0.2">
      <c r="A630" s="3" t="s">
        <v>22</v>
      </c>
      <c r="B630" s="39">
        <v>729</v>
      </c>
      <c r="C630" s="82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R630" s="1"/>
      <c r="S630" s="1"/>
      <c r="T630" s="1"/>
      <c r="U630" s="1"/>
      <c r="V630" s="1"/>
      <c r="W630" s="5"/>
      <c r="X630" s="1"/>
      <c r="Y630" s="5"/>
      <c r="Z630" s="1"/>
      <c r="AG630" s="5"/>
      <c r="AH630" s="5"/>
      <c r="AK630" s="5"/>
      <c r="AM630" s="5"/>
      <c r="AO630" s="5"/>
      <c r="AP630" s="5"/>
      <c r="AQ630" s="5"/>
      <c r="AR630" s="5">
        <f>23.5/100000</f>
        <v>2.3499999999999999E-4</v>
      </c>
      <c r="AS630" s="5"/>
      <c r="AU630" s="5"/>
      <c r="AV630" s="5"/>
      <c r="AW630" s="5"/>
      <c r="AX630" s="5"/>
      <c r="AY630" s="5"/>
      <c r="AZ630" s="5"/>
      <c r="BA630" s="5">
        <f>37.3/100000</f>
        <v>3.7299999999999996E-4</v>
      </c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P630"/>
      <c r="BQ630" s="5"/>
      <c r="BR630"/>
      <c r="BS630"/>
      <c r="BU630" s="5"/>
      <c r="BX630" s="5"/>
      <c r="BY630" s="5"/>
      <c r="CA630" s="5"/>
      <c r="CB630" s="5"/>
      <c r="CC630" s="5"/>
      <c r="CD630" s="5"/>
      <c r="CH630" s="44"/>
    </row>
    <row r="631" spans="1:86" x14ac:dyDescent="0.2">
      <c r="A631" s="3" t="s">
        <v>22</v>
      </c>
      <c r="B631" s="39">
        <v>730</v>
      </c>
      <c r="C631" s="82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R631" s="1"/>
      <c r="S631" s="1"/>
      <c r="T631" s="1"/>
      <c r="U631" s="1"/>
      <c r="V631" s="1"/>
      <c r="W631" s="5"/>
      <c r="X631" s="1"/>
      <c r="Y631" s="5"/>
      <c r="Z631" s="1"/>
      <c r="AG631" s="5"/>
      <c r="AH631" s="5"/>
      <c r="AJ631">
        <f>3.4/1000</f>
        <v>3.3999999999999998E-3</v>
      </c>
      <c r="AK631" s="5"/>
      <c r="AM631" s="5"/>
      <c r="AO631" s="5"/>
      <c r="AP631" s="5"/>
      <c r="AQ631" s="5"/>
      <c r="AR631" s="5"/>
      <c r="AS631" s="5"/>
      <c r="AU631" s="5"/>
      <c r="AV631" s="5"/>
      <c r="AW631" s="5"/>
      <c r="AX631" s="5">
        <f>4.74/1000</f>
        <v>4.7400000000000003E-3</v>
      </c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P631"/>
      <c r="BQ631" s="5"/>
      <c r="BR631"/>
      <c r="BS631"/>
      <c r="BU631" s="5"/>
      <c r="BX631" s="5"/>
      <c r="BY631" s="5"/>
      <c r="CA631" s="5"/>
      <c r="CB631" s="5"/>
      <c r="CC631" s="5"/>
      <c r="CD631" s="5"/>
      <c r="CH631" s="44"/>
    </row>
    <row r="632" spans="1:86" x14ac:dyDescent="0.2">
      <c r="A632" s="3" t="s">
        <v>22</v>
      </c>
      <c r="B632" s="39">
        <v>731</v>
      </c>
      <c r="C632" s="82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R632" s="1"/>
      <c r="S632" s="1"/>
      <c r="T632" s="1"/>
      <c r="U632" s="1"/>
      <c r="V632" s="1"/>
      <c r="W632" s="5"/>
      <c r="X632" s="1"/>
      <c r="Y632" s="5"/>
      <c r="Z632" s="1"/>
      <c r="AG632" s="5"/>
      <c r="AH632" s="5"/>
      <c r="AK632" s="5"/>
      <c r="AM632" s="5"/>
      <c r="AO632" s="5"/>
      <c r="AP632" s="5"/>
      <c r="AQ632" s="5"/>
      <c r="AR632" s="5"/>
      <c r="AS632" s="5"/>
      <c r="AU632" s="5"/>
      <c r="AV632" s="5">
        <v>2.8E-3</v>
      </c>
      <c r="AW632" s="5">
        <v>3.0999999999999999E-3</v>
      </c>
      <c r="AX632" s="5">
        <v>3.5000000000000001E-3</v>
      </c>
      <c r="AY632" s="5">
        <v>3.8999999999999998E-3</v>
      </c>
      <c r="AZ632" s="5">
        <v>4.1000000000000003E-3</v>
      </c>
      <c r="BA632" s="5">
        <v>4.1000000000000003E-3</v>
      </c>
      <c r="BB632" s="5">
        <v>4.4999999999999997E-3</v>
      </c>
      <c r="BC632" s="5">
        <v>5.0000000000000001E-3</v>
      </c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P632"/>
      <c r="BQ632" s="5"/>
      <c r="BR632"/>
      <c r="BS632"/>
      <c r="BU632" s="5"/>
      <c r="BX632" s="5"/>
      <c r="BY632" s="5"/>
      <c r="CA632" s="5"/>
      <c r="CB632" s="5"/>
      <c r="CC632" s="5"/>
      <c r="CD632" s="5"/>
      <c r="CH632" s="44"/>
    </row>
    <row r="633" spans="1:86" x14ac:dyDescent="0.2">
      <c r="A633" s="3" t="s">
        <v>22</v>
      </c>
      <c r="B633" s="39">
        <v>732</v>
      </c>
      <c r="C633" s="82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R633" s="1"/>
      <c r="S633" s="1"/>
      <c r="T633" s="1"/>
      <c r="U633" s="1"/>
      <c r="V633" s="1"/>
      <c r="W633" s="5"/>
      <c r="X633" s="1"/>
      <c r="Y633" s="5"/>
      <c r="Z633" s="1"/>
      <c r="AG633" s="5"/>
      <c r="AH633" s="5"/>
      <c r="AK633" s="5"/>
      <c r="AM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>
        <f>103.59/100000</f>
        <v>1.0359E-3</v>
      </c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P633"/>
      <c r="BQ633" s="5"/>
      <c r="BR633"/>
      <c r="BS633"/>
      <c r="BU633" s="5">
        <f>187.8/100000</f>
        <v>1.8780000000000001E-3</v>
      </c>
      <c r="BX633" s="5"/>
      <c r="BY633" s="5"/>
      <c r="CA633" s="5"/>
      <c r="CB633" s="5"/>
      <c r="CC633" s="5"/>
      <c r="CD633" s="5"/>
      <c r="CH633" s="44"/>
    </row>
    <row r="634" spans="1:86" s="46" customFormat="1" x14ac:dyDescent="0.2">
      <c r="A634" s="38" t="s">
        <v>22</v>
      </c>
      <c r="B634" s="40">
        <v>733</v>
      </c>
      <c r="C634" s="83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R634" s="53"/>
      <c r="S634" s="53"/>
      <c r="T634" s="53"/>
      <c r="U634" s="53"/>
      <c r="V634" s="53"/>
      <c r="W634" s="48"/>
      <c r="X634" s="53"/>
      <c r="Y634" s="48"/>
      <c r="Z634" s="53"/>
      <c r="AG634" s="48"/>
      <c r="AH634" s="48"/>
      <c r="AK634" s="48"/>
      <c r="AM634" s="48"/>
      <c r="AO634" s="48"/>
      <c r="AP634" s="48"/>
      <c r="AQ634" s="48"/>
      <c r="AR634" s="48"/>
      <c r="AS634" s="48"/>
      <c r="AU634" s="48">
        <v>2.5000000000000001E-3</v>
      </c>
      <c r="AV634" s="48"/>
      <c r="AW634" s="48"/>
      <c r="AX634" s="48"/>
      <c r="AY634" s="48"/>
      <c r="AZ634" s="48">
        <v>2.5000000000000001E-3</v>
      </c>
      <c r="BA634" s="48"/>
      <c r="BB634" s="48"/>
      <c r="BC634" s="48"/>
      <c r="BD634" s="48"/>
      <c r="BE634" s="48"/>
      <c r="BF634" s="48"/>
      <c r="BG634" s="48">
        <v>3.3999999999999998E-3</v>
      </c>
      <c r="BH634" s="48"/>
      <c r="BI634" s="48"/>
      <c r="BJ634" s="48"/>
      <c r="BK634" s="48"/>
      <c r="BL634" s="48"/>
      <c r="BM634" s="48"/>
      <c r="BQ634" s="48"/>
      <c r="BU634" s="48"/>
      <c r="BX634" s="48"/>
      <c r="BY634" s="48"/>
      <c r="CA634" s="48"/>
      <c r="CB634" s="48"/>
      <c r="CC634" s="48"/>
      <c r="CD634" s="48"/>
      <c r="CH634" s="51"/>
    </row>
    <row r="635" spans="1:86" x14ac:dyDescent="0.2">
      <c r="A635" s="3" t="s">
        <v>23</v>
      </c>
      <c r="B635" s="39">
        <v>734</v>
      </c>
      <c r="C635" s="82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R635" s="1"/>
      <c r="S635" s="1"/>
      <c r="T635" s="1"/>
      <c r="U635" s="1"/>
      <c r="V635" s="1"/>
      <c r="W635" s="5">
        <v>9.1000000000000004E-3</v>
      </c>
      <c r="X635" s="1"/>
      <c r="Y635" s="5"/>
      <c r="Z635" s="1"/>
      <c r="AG635" s="5"/>
      <c r="AH635" s="5"/>
      <c r="AK635" s="5"/>
      <c r="AM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>
        <v>2.9700000000000001E-2</v>
      </c>
      <c r="BE635" s="5"/>
      <c r="BF635" s="5"/>
      <c r="BG635" s="5"/>
      <c r="BH635" s="5"/>
      <c r="BI635" s="5"/>
      <c r="BJ635" s="5"/>
      <c r="BK635" s="5"/>
      <c r="BL635" s="5"/>
      <c r="BM635" s="5"/>
      <c r="BP635"/>
      <c r="BQ635" s="5"/>
      <c r="BR635"/>
      <c r="BS635"/>
      <c r="BU635" s="5"/>
      <c r="BX635" s="5"/>
      <c r="BY635" s="5"/>
      <c r="CA635" s="5"/>
      <c r="CB635" s="5"/>
      <c r="CC635" s="5"/>
      <c r="CD635" s="5"/>
      <c r="CH635" s="44"/>
    </row>
    <row r="636" spans="1:86" x14ac:dyDescent="0.2">
      <c r="A636" s="3" t="s">
        <v>23</v>
      </c>
      <c r="B636" s="39">
        <v>735</v>
      </c>
      <c r="C636" s="82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R636" s="1"/>
      <c r="S636" s="1"/>
      <c r="T636" s="1"/>
      <c r="U636" s="1"/>
      <c r="V636" s="1"/>
      <c r="W636" s="5"/>
      <c r="X636" s="1"/>
      <c r="Y636" s="5"/>
      <c r="Z636" s="1"/>
      <c r="AG636" s="5"/>
      <c r="AH636" s="5"/>
      <c r="AK636" s="5"/>
      <c r="AM636" s="5">
        <v>0</v>
      </c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>
        <v>1.4E-2</v>
      </c>
      <c r="BH636" s="5"/>
      <c r="BI636" s="5"/>
      <c r="BJ636" s="5"/>
      <c r="BK636" s="5"/>
      <c r="BL636" s="5"/>
      <c r="BM636" s="5"/>
      <c r="BP636"/>
      <c r="BQ636" s="5"/>
      <c r="BR636"/>
      <c r="BS636"/>
      <c r="BU636" s="5"/>
      <c r="BX636" s="5"/>
      <c r="BY636" s="5"/>
      <c r="CA636" s="5"/>
      <c r="CB636" s="5"/>
      <c r="CC636" s="5"/>
      <c r="CD636" s="5"/>
      <c r="CH636" s="44"/>
    </row>
    <row r="637" spans="1:86" x14ac:dyDescent="0.2">
      <c r="A637" s="3" t="s">
        <v>23</v>
      </c>
      <c r="B637" s="39">
        <v>735</v>
      </c>
      <c r="C637" s="82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R637" s="1"/>
      <c r="S637" s="1"/>
      <c r="T637" s="1"/>
      <c r="U637" s="1"/>
      <c r="V637" s="1"/>
      <c r="W637" s="5"/>
      <c r="X637" s="1"/>
      <c r="Y637" s="5"/>
      <c r="Z637" s="1"/>
      <c r="AG637" s="5"/>
      <c r="AH637" s="5"/>
      <c r="AK637" s="5"/>
      <c r="AM637" s="5">
        <v>2.4299999999999999E-2</v>
      </c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>
        <v>3.78E-2</v>
      </c>
      <c r="BH637" s="5"/>
      <c r="BI637" s="5"/>
      <c r="BJ637" s="5"/>
      <c r="BK637" s="5"/>
      <c r="BL637" s="5"/>
      <c r="BM637" s="5"/>
      <c r="BP637"/>
      <c r="BQ637" s="5"/>
      <c r="BR637"/>
      <c r="BS637"/>
      <c r="BU637" s="5"/>
      <c r="BX637" s="5"/>
      <c r="BY637" s="5"/>
      <c r="CA637" s="5"/>
      <c r="CB637" s="5"/>
      <c r="CC637" s="5"/>
      <c r="CD637" s="5"/>
      <c r="CH637" s="44"/>
    </row>
    <row r="638" spans="1:86" x14ac:dyDescent="0.2">
      <c r="A638" s="3" t="s">
        <v>23</v>
      </c>
      <c r="B638" s="39">
        <v>735</v>
      </c>
      <c r="C638" s="82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R638" s="1"/>
      <c r="S638" s="1"/>
      <c r="T638" s="1"/>
      <c r="U638" s="1"/>
      <c r="V638" s="1"/>
      <c r="W638" s="5"/>
      <c r="X638" s="1"/>
      <c r="Y638" s="5"/>
      <c r="Z638" s="1"/>
      <c r="AG638" s="5"/>
      <c r="AH638" s="5"/>
      <c r="AK638" s="5"/>
      <c r="AM638" s="5">
        <v>7.1999999999999998E-3</v>
      </c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>
        <v>2.8799999999999999E-2</v>
      </c>
      <c r="BH638" s="5"/>
      <c r="BI638" s="5"/>
      <c r="BJ638" s="5"/>
      <c r="BK638" s="5"/>
      <c r="BL638" s="5"/>
      <c r="BM638" s="5"/>
      <c r="BP638"/>
      <c r="BQ638" s="5"/>
      <c r="BR638"/>
      <c r="BS638"/>
      <c r="BU638" s="5"/>
      <c r="BX638" s="5"/>
      <c r="BY638" s="5"/>
      <c r="CA638" s="5"/>
      <c r="CB638" s="5"/>
      <c r="CC638" s="5"/>
      <c r="CD638" s="5"/>
      <c r="CH638" s="44"/>
    </row>
    <row r="639" spans="1:86" x14ac:dyDescent="0.2">
      <c r="A639" s="3" t="s">
        <v>23</v>
      </c>
      <c r="B639" s="39">
        <v>735</v>
      </c>
      <c r="C639" s="82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R639" s="1"/>
      <c r="S639" s="1"/>
      <c r="T639" s="1"/>
      <c r="U639" s="1"/>
      <c r="V639" s="1"/>
      <c r="W639" s="5"/>
      <c r="X639" s="1"/>
      <c r="Y639" s="5"/>
      <c r="Z639" s="1"/>
      <c r="AG639" s="5"/>
      <c r="AH639" s="5"/>
      <c r="AK639" s="5"/>
      <c r="AM639" s="5">
        <v>2.7300000000000001E-2</v>
      </c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>
        <v>5.3100000000000001E-2</v>
      </c>
      <c r="BH639" s="5"/>
      <c r="BI639" s="5"/>
      <c r="BJ639" s="5"/>
      <c r="BK639" s="5"/>
      <c r="BL639" s="5"/>
      <c r="BM639" s="5"/>
      <c r="BP639"/>
      <c r="BQ639" s="5"/>
      <c r="BR639"/>
      <c r="BS639"/>
      <c r="BU639" s="5"/>
      <c r="BX639" s="5"/>
      <c r="BY639" s="5"/>
      <c r="CA639" s="5"/>
      <c r="CB639" s="5"/>
      <c r="CC639" s="5"/>
      <c r="CD639" s="5"/>
      <c r="CH639" s="44"/>
    </row>
    <row r="640" spans="1:86" x14ac:dyDescent="0.2">
      <c r="A640" s="3" t="s">
        <v>23</v>
      </c>
      <c r="B640" s="39">
        <v>733</v>
      </c>
      <c r="C640" s="82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R640" s="1"/>
      <c r="S640" s="1"/>
      <c r="T640" s="1"/>
      <c r="U640" s="1"/>
      <c r="V640" s="1"/>
      <c r="W640" s="5"/>
      <c r="X640" s="1"/>
      <c r="Y640" s="5"/>
      <c r="Z640" s="1"/>
      <c r="AG640" s="5"/>
      <c r="AH640" s="5"/>
      <c r="AK640" s="5"/>
      <c r="AM640" s="5"/>
      <c r="AO640" s="5"/>
      <c r="AP640" s="5"/>
      <c r="AQ640" s="5"/>
      <c r="AR640" s="5"/>
      <c r="AS640" s="5"/>
      <c r="AU640" s="5">
        <v>7.4999999999999997E-3</v>
      </c>
      <c r="AV640" s="5"/>
      <c r="AW640" s="5"/>
      <c r="AX640" s="5"/>
      <c r="AY640" s="5"/>
      <c r="AZ640" s="5">
        <v>9.1999999999999998E-3</v>
      </c>
      <c r="BA640" s="5"/>
      <c r="BB640" s="5"/>
      <c r="BC640" s="5"/>
      <c r="BD640" s="5"/>
      <c r="BE640" s="5"/>
      <c r="BF640" s="5"/>
      <c r="BG640" s="5">
        <v>1.52E-2</v>
      </c>
      <c r="BH640" s="5"/>
      <c r="BI640" s="5"/>
      <c r="BJ640" s="5"/>
      <c r="BK640" s="5"/>
      <c r="BL640" s="5"/>
      <c r="BM640" s="5"/>
      <c r="BP640"/>
      <c r="BQ640" s="5"/>
      <c r="BR640"/>
      <c r="BS640"/>
      <c r="BU640" s="5"/>
      <c r="BX640" s="5"/>
      <c r="BY640" s="5"/>
      <c r="CA640" s="5"/>
      <c r="CB640" s="5"/>
      <c r="CC640" s="5"/>
      <c r="CD640" s="5"/>
      <c r="CH640" s="44"/>
    </row>
    <row r="641" spans="1:86" x14ac:dyDescent="0.2">
      <c r="A641" s="3" t="s">
        <v>23</v>
      </c>
      <c r="B641" s="39">
        <v>736</v>
      </c>
      <c r="C641" s="82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R641" s="1"/>
      <c r="S641" s="1"/>
      <c r="T641" s="1"/>
      <c r="U641" s="1"/>
      <c r="V641" s="1"/>
      <c r="W641" s="5"/>
      <c r="X641" s="1"/>
      <c r="Y641" s="5"/>
      <c r="Z641" s="1"/>
      <c r="AG641" s="5"/>
      <c r="AH641" s="5"/>
      <c r="AK641" s="5"/>
      <c r="AM641" s="5"/>
      <c r="AO641" s="5"/>
      <c r="AP641" s="5"/>
      <c r="AQ641" s="5">
        <v>0.114</v>
      </c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>
        <v>0.14299999999999999</v>
      </c>
      <c r="BF641" s="5"/>
      <c r="BG641" s="5"/>
      <c r="BH641" s="5"/>
      <c r="BI641" s="5"/>
      <c r="BJ641" s="5"/>
      <c r="BK641" s="5"/>
      <c r="BL641" s="5"/>
      <c r="BM641" s="5"/>
      <c r="BP641"/>
      <c r="BQ641" s="5"/>
      <c r="BR641"/>
      <c r="BS641"/>
      <c r="BU641" s="5"/>
      <c r="BX641" s="5"/>
      <c r="BY641" s="5"/>
      <c r="CA641" s="5"/>
      <c r="CB641" s="5"/>
      <c r="CC641" s="5"/>
      <c r="CD641" s="5"/>
      <c r="CH641" s="44"/>
    </row>
    <row r="642" spans="1:86" x14ac:dyDescent="0.2">
      <c r="A642" s="3" t="s">
        <v>23</v>
      </c>
      <c r="B642" s="39">
        <v>737</v>
      </c>
      <c r="C642" s="82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R642" s="1"/>
      <c r="S642" s="1"/>
      <c r="T642" s="1"/>
      <c r="U642" s="1"/>
      <c r="V642" s="1"/>
      <c r="W642" s="5"/>
      <c r="X642" s="1"/>
      <c r="Y642" s="5"/>
      <c r="Z642" s="1"/>
      <c r="AG642" s="5"/>
      <c r="AH642" s="5"/>
      <c r="AK642" s="5"/>
      <c r="AM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>
        <v>4.1700000000000001E-2</v>
      </c>
      <c r="BB642" s="5">
        <v>4.2500000000000003E-2</v>
      </c>
      <c r="BC642" s="5">
        <v>4.41E-2</v>
      </c>
      <c r="BD642" s="5">
        <v>4.6100000000000002E-2</v>
      </c>
      <c r="BE642" s="5">
        <v>4.8500000000000001E-2</v>
      </c>
      <c r="BF642" s="5">
        <v>4.9599999999999998E-2</v>
      </c>
      <c r="BG642" s="5">
        <v>5.1900000000000002E-2</v>
      </c>
      <c r="BH642" s="5">
        <v>5.3999999999999999E-2</v>
      </c>
      <c r="BI642" s="5"/>
      <c r="BJ642" s="5"/>
      <c r="BK642" s="5"/>
      <c r="BL642" s="5"/>
      <c r="BM642" s="5"/>
      <c r="BP642"/>
      <c r="BQ642" s="5"/>
      <c r="BR642"/>
      <c r="BS642"/>
      <c r="BU642" s="5"/>
      <c r="BX642" s="5"/>
      <c r="BY642" s="5"/>
      <c r="CA642" s="5"/>
      <c r="CB642" s="5"/>
      <c r="CC642" s="5"/>
      <c r="CD642" s="5"/>
      <c r="CH642" s="44"/>
    </row>
    <row r="643" spans="1:86" x14ac:dyDescent="0.2">
      <c r="A643" s="3" t="s">
        <v>23</v>
      </c>
      <c r="B643" s="39">
        <v>633</v>
      </c>
      <c r="C643" s="82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R643" s="1"/>
      <c r="S643" s="1"/>
      <c r="T643" s="1"/>
      <c r="U643" s="1"/>
      <c r="V643" s="1"/>
      <c r="W643" s="5"/>
      <c r="X643" s="1"/>
      <c r="Y643" s="5"/>
      <c r="Z643" s="1"/>
      <c r="AG643" s="5"/>
      <c r="AH643" s="5"/>
      <c r="AK643" s="5"/>
      <c r="AM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>
        <v>0.05</v>
      </c>
      <c r="BG643" s="5"/>
      <c r="BH643" s="5"/>
      <c r="BI643" s="5"/>
      <c r="BJ643" s="5">
        <v>0.17899999999999999</v>
      </c>
      <c r="BK643" s="5"/>
      <c r="BL643" s="5"/>
      <c r="BM643" s="5"/>
      <c r="BP643"/>
      <c r="BQ643" s="5"/>
      <c r="BR643"/>
      <c r="BS643"/>
      <c r="BU643" s="5"/>
      <c r="BX643" s="5"/>
      <c r="BY643" s="5"/>
      <c r="CA643" s="5"/>
      <c r="CB643" s="5"/>
      <c r="CC643" s="5"/>
      <c r="CD643" s="5"/>
      <c r="CH643" s="44"/>
    </row>
    <row r="644" spans="1:86" x14ac:dyDescent="0.2">
      <c r="A644" s="3" t="s">
        <v>23</v>
      </c>
      <c r="B644" s="39">
        <v>738</v>
      </c>
      <c r="C644" s="82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R644" s="1"/>
      <c r="S644" s="1"/>
      <c r="T644" s="1"/>
      <c r="U644" s="1"/>
      <c r="V644" s="1"/>
      <c r="W644" s="5"/>
      <c r="X644" s="1"/>
      <c r="Y644" s="5"/>
      <c r="Z644" s="1"/>
      <c r="AG644" s="5"/>
      <c r="AH644" s="5"/>
      <c r="AK644" s="5"/>
      <c r="AM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>
        <v>1.7999999999999999E-2</v>
      </c>
      <c r="BH644" s="5"/>
      <c r="BI644" s="5"/>
      <c r="BJ644" s="5"/>
      <c r="BK644" s="5"/>
      <c r="BL644" s="5"/>
      <c r="BM644" s="5">
        <v>0.11</v>
      </c>
      <c r="BP644"/>
      <c r="BQ644" s="5"/>
      <c r="BR644"/>
      <c r="BS644"/>
      <c r="BU644" s="5"/>
      <c r="BX644" s="5"/>
      <c r="BY644" s="5"/>
      <c r="CA644" s="5"/>
      <c r="CB644" s="5"/>
      <c r="CC644" s="5"/>
      <c r="CD644" s="5"/>
      <c r="CH644" s="44"/>
    </row>
    <row r="645" spans="1:86" x14ac:dyDescent="0.2">
      <c r="A645" s="3" t="s">
        <v>23</v>
      </c>
      <c r="B645" s="39">
        <v>739</v>
      </c>
      <c r="C645" s="82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R645" s="1"/>
      <c r="S645" s="1"/>
      <c r="T645" s="1"/>
      <c r="U645" s="1"/>
      <c r="V645" s="1"/>
      <c r="W645" s="5"/>
      <c r="X645" s="1"/>
      <c r="Y645" s="5"/>
      <c r="Z645" s="1"/>
      <c r="AG645" s="5"/>
      <c r="AH645" s="5"/>
      <c r="AK645" s="5"/>
      <c r="AM645" s="5"/>
      <c r="AO645" s="5"/>
      <c r="AP645" s="5"/>
      <c r="AQ645" s="5"/>
      <c r="AR645" s="5"/>
      <c r="AS645" s="5"/>
      <c r="AU645" s="5"/>
      <c r="AV645" s="5"/>
      <c r="AW645" s="5"/>
      <c r="AX645" s="5">
        <v>0.128</v>
      </c>
      <c r="AY645" s="5"/>
      <c r="AZ645" s="5"/>
      <c r="BA645" s="5"/>
      <c r="BB645" s="5"/>
      <c r="BC645" s="5">
        <v>0.152</v>
      </c>
      <c r="BD645" s="5"/>
      <c r="BE645" s="5"/>
      <c r="BF645" s="5"/>
      <c r="BG645" s="5"/>
      <c r="BH645" s="5"/>
      <c r="BI645" s="5">
        <v>0.17899999999999999</v>
      </c>
      <c r="BJ645" s="5"/>
      <c r="BK645" s="5"/>
      <c r="BL645" s="5"/>
      <c r="BM645" s="5"/>
      <c r="BP645"/>
      <c r="BQ645" s="5"/>
      <c r="BR645"/>
      <c r="BS645"/>
      <c r="BU645" s="5"/>
      <c r="BX645" s="5"/>
      <c r="BY645" s="5"/>
      <c r="CA645" s="5"/>
      <c r="CB645" s="5"/>
      <c r="CC645" s="5"/>
      <c r="CD645" s="5"/>
      <c r="CH645" s="44"/>
    </row>
    <row r="646" spans="1:86" x14ac:dyDescent="0.2">
      <c r="A646" s="3" t="s">
        <v>23</v>
      </c>
      <c r="B646" s="39">
        <v>740</v>
      </c>
      <c r="C646" s="82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R646" s="1"/>
      <c r="S646" s="1"/>
      <c r="T646" s="1"/>
      <c r="U646" s="1"/>
      <c r="V646" s="1"/>
      <c r="W646" s="5"/>
      <c r="X646" s="1"/>
      <c r="Y646" s="5"/>
      <c r="Z646" s="1"/>
      <c r="AG646" s="5"/>
      <c r="AH646" s="5"/>
      <c r="AK646" s="5"/>
      <c r="AM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>
        <f>17/1000</f>
        <v>1.7000000000000001E-2</v>
      </c>
      <c r="BF646" s="5"/>
      <c r="BG646" s="5"/>
      <c r="BH646" s="5"/>
      <c r="BI646" s="5"/>
      <c r="BJ646" s="5"/>
      <c r="BK646" s="5"/>
      <c r="BL646" s="5">
        <f>25/1000</f>
        <v>2.5000000000000001E-2</v>
      </c>
      <c r="BM646" s="5"/>
      <c r="BP646"/>
      <c r="BQ646" s="5"/>
      <c r="BR646"/>
      <c r="BS646"/>
      <c r="BU646" s="5"/>
      <c r="BX646" s="5"/>
      <c r="BY646" s="5"/>
      <c r="CA646" s="5"/>
      <c r="CB646" s="5"/>
      <c r="CC646" s="5"/>
      <c r="CD646" s="5"/>
      <c r="CH646" s="44"/>
    </row>
    <row r="647" spans="1:86" x14ac:dyDescent="0.2">
      <c r="A647" s="3" t="s">
        <v>23</v>
      </c>
      <c r="B647" s="39">
        <v>741</v>
      </c>
      <c r="C647" s="82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R647" s="1"/>
      <c r="S647" s="1"/>
      <c r="T647" s="1"/>
      <c r="U647" s="1"/>
      <c r="V647" s="1"/>
      <c r="W647" s="5"/>
      <c r="X647" s="1"/>
      <c r="Y647" s="5"/>
      <c r="Z647" s="1"/>
      <c r="AG647" s="5"/>
      <c r="AH647" s="5"/>
      <c r="AK647" s="5"/>
      <c r="AM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>
        <f>1492/100000</f>
        <v>1.4919999999999999E-2</v>
      </c>
      <c r="BE647" s="5"/>
      <c r="BF647" s="5"/>
      <c r="BG647" s="5"/>
      <c r="BH647" s="5"/>
      <c r="BI647" s="5"/>
      <c r="BJ647" s="5"/>
      <c r="BK647" s="5"/>
      <c r="BL647" s="5"/>
      <c r="BM647" s="5"/>
      <c r="BO647">
        <f>3130/100000</f>
        <v>3.1300000000000001E-2</v>
      </c>
      <c r="BP647"/>
      <c r="BQ647" s="5"/>
      <c r="BR647"/>
      <c r="BS647"/>
      <c r="BU647" s="5"/>
      <c r="BX647" s="5"/>
      <c r="BY647" s="5"/>
      <c r="CA647" s="5"/>
      <c r="CB647" s="5"/>
      <c r="CC647" s="5"/>
      <c r="CD647" s="5"/>
      <c r="CH647" s="44"/>
    </row>
    <row r="648" spans="1:86" x14ac:dyDescent="0.2">
      <c r="A648" s="3" t="s">
        <v>23</v>
      </c>
      <c r="B648" s="39">
        <v>742</v>
      </c>
      <c r="C648" s="82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R648" s="1"/>
      <c r="S648" s="1"/>
      <c r="T648" s="1"/>
      <c r="U648" s="1"/>
      <c r="V648" s="1"/>
      <c r="W648" s="5"/>
      <c r="X648" s="1"/>
      <c r="Y648" s="5"/>
      <c r="Z648" s="1"/>
      <c r="AG648" s="5"/>
      <c r="AH648" s="5"/>
      <c r="AK648" s="5"/>
      <c r="AM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>
        <v>2.3E-2</v>
      </c>
      <c r="BK648" s="5"/>
      <c r="BL648" s="5"/>
      <c r="BM648" s="5"/>
      <c r="BO648">
        <v>6.8000000000000005E-2</v>
      </c>
      <c r="BP648"/>
      <c r="BQ648" s="5"/>
      <c r="BR648"/>
      <c r="BS648"/>
      <c r="BU648" s="5"/>
      <c r="BX648" s="5"/>
      <c r="BY648" s="5"/>
      <c r="CA648" s="5"/>
      <c r="CB648" s="5"/>
      <c r="CC648" s="5"/>
      <c r="CD648" s="5"/>
      <c r="CH648" s="44"/>
    </row>
    <row r="649" spans="1:86" x14ac:dyDescent="0.2">
      <c r="A649" s="3" t="s">
        <v>23</v>
      </c>
      <c r="B649" s="39">
        <v>743</v>
      </c>
      <c r="C649" s="82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R649" s="1"/>
      <c r="S649" s="1"/>
      <c r="T649" s="1"/>
      <c r="U649" s="1"/>
      <c r="V649" s="1"/>
      <c r="W649" s="5"/>
      <c r="X649" s="1"/>
      <c r="Y649" s="5"/>
      <c r="Z649" s="1"/>
      <c r="AG649" s="5"/>
      <c r="AH649" s="5"/>
      <c r="AK649" s="5"/>
      <c r="AM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>
        <v>5.1999999999999998E-2</v>
      </c>
      <c r="BG649" s="5"/>
      <c r="BH649" s="5"/>
      <c r="BI649" s="5"/>
      <c r="BJ649" s="5"/>
      <c r="BK649" s="5"/>
      <c r="BL649" s="5"/>
      <c r="BM649" s="5"/>
      <c r="BP649">
        <v>8.7999999999999995E-2</v>
      </c>
      <c r="BQ649" s="5"/>
      <c r="BR649"/>
      <c r="BS649"/>
      <c r="BU649" s="5"/>
      <c r="BX649" s="5"/>
      <c r="BY649" s="5"/>
      <c r="CA649" s="5"/>
      <c r="CB649" s="5"/>
      <c r="CC649" s="5"/>
      <c r="CD649" s="5"/>
      <c r="CH649" s="44"/>
    </row>
    <row r="650" spans="1:86" x14ac:dyDescent="0.2">
      <c r="A650" s="3" t="s">
        <v>23</v>
      </c>
      <c r="B650" s="39">
        <v>744</v>
      </c>
      <c r="C650" s="82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R650" s="1"/>
      <c r="S650" s="1"/>
      <c r="T650" s="1"/>
      <c r="U650" s="1"/>
      <c r="V650" s="1"/>
      <c r="W650" s="5"/>
      <c r="X650" s="1"/>
      <c r="Y650" s="5"/>
      <c r="Z650" s="1"/>
      <c r="AG650" s="5"/>
      <c r="AH650" s="5"/>
      <c r="AK650" s="5"/>
      <c r="AM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>
        <v>2.1999999999999999E-2</v>
      </c>
      <c r="BH650" s="5"/>
      <c r="BI650" s="5"/>
      <c r="BJ650" s="5"/>
      <c r="BK650" s="5"/>
      <c r="BL650" s="5"/>
      <c r="BM650" s="5"/>
      <c r="BN650">
        <v>3.5000000000000003E-2</v>
      </c>
      <c r="BP650"/>
      <c r="BQ650" s="5"/>
      <c r="BR650"/>
      <c r="BS650"/>
      <c r="BU650" s="5"/>
      <c r="BX650" s="5"/>
      <c r="BY650" s="5"/>
      <c r="CA650" s="5"/>
      <c r="CB650" s="5"/>
      <c r="CC650" s="5"/>
      <c r="CD650" s="5"/>
      <c r="CH650" s="44"/>
    </row>
    <row r="651" spans="1:86" x14ac:dyDescent="0.2">
      <c r="A651" s="3" t="s">
        <v>23</v>
      </c>
      <c r="B651" s="39">
        <v>712</v>
      </c>
      <c r="C651" s="82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R651" s="1"/>
      <c r="S651" s="1"/>
      <c r="T651" s="1"/>
      <c r="U651" s="1"/>
      <c r="V651" s="1"/>
      <c r="W651" s="5"/>
      <c r="X651" s="1"/>
      <c r="Y651" s="5"/>
      <c r="Z651" s="1"/>
      <c r="AG651" s="5"/>
      <c r="AH651" s="5"/>
      <c r="AK651" s="5"/>
      <c r="AM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>
        <v>2.47E-2</v>
      </c>
      <c r="BH651" s="5"/>
      <c r="BI651" s="5"/>
      <c r="BJ651" s="5"/>
      <c r="BK651" s="5"/>
      <c r="BL651" s="5"/>
      <c r="BM651" s="5"/>
      <c r="BP651">
        <v>3.9E-2</v>
      </c>
      <c r="BQ651" s="5"/>
      <c r="BR651"/>
      <c r="BS651"/>
      <c r="BU651" s="5"/>
      <c r="BX651" s="5"/>
      <c r="BY651" s="5"/>
      <c r="CA651" s="5"/>
      <c r="CB651" s="5"/>
      <c r="CC651" s="5"/>
      <c r="CD651" s="5"/>
      <c r="CH651" s="44"/>
    </row>
    <row r="652" spans="1:86" x14ac:dyDescent="0.2">
      <c r="A652" s="3" t="s">
        <v>23</v>
      </c>
      <c r="B652" s="39">
        <v>745</v>
      </c>
      <c r="C652" s="82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R652" s="1"/>
      <c r="S652" s="1"/>
      <c r="T652" s="1"/>
      <c r="U652" s="1"/>
      <c r="V652" s="1"/>
      <c r="W652" s="5"/>
      <c r="X652" s="1"/>
      <c r="Y652" s="5"/>
      <c r="Z652" s="1"/>
      <c r="AG652" s="5"/>
      <c r="AH652" s="5"/>
      <c r="AK652" s="5"/>
      <c r="AM652" s="5"/>
      <c r="AO652" s="5"/>
      <c r="AP652" s="5"/>
      <c r="AQ652" s="5">
        <v>1.2E-2</v>
      </c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P652">
        <v>0.121</v>
      </c>
      <c r="BQ652" s="5"/>
      <c r="BR652"/>
      <c r="BS652"/>
      <c r="BU652" s="5"/>
      <c r="BX652" s="5"/>
      <c r="BY652" s="5"/>
      <c r="CA652" s="5"/>
      <c r="CB652" s="5"/>
      <c r="CC652" s="5"/>
      <c r="CD652" s="5"/>
      <c r="CH652" s="44"/>
    </row>
    <row r="653" spans="1:86" x14ac:dyDescent="0.2">
      <c r="A653" s="3" t="s">
        <v>23</v>
      </c>
      <c r="B653" s="39">
        <v>537</v>
      </c>
      <c r="C653" s="82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R653" s="1"/>
      <c r="S653" s="1"/>
      <c r="T653" s="1"/>
      <c r="U653" s="1"/>
      <c r="V653" s="1"/>
      <c r="W653" s="5"/>
      <c r="X653" s="1"/>
      <c r="Y653" s="5"/>
      <c r="Z653" s="1"/>
      <c r="AG653" s="5"/>
      <c r="AH653" s="5"/>
      <c r="AK653" s="5"/>
      <c r="AM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>
        <v>6.7000000000000004E-2</v>
      </c>
      <c r="BE653" s="5"/>
      <c r="BF653" s="5"/>
      <c r="BG653" s="5"/>
      <c r="BH653" s="5"/>
      <c r="BI653" s="5"/>
      <c r="BJ653" s="5"/>
      <c r="BK653" s="5">
        <v>7.4999999999999997E-2</v>
      </c>
      <c r="BL653" s="5"/>
      <c r="BM653" s="5"/>
      <c r="BP653">
        <v>0.14399999999999999</v>
      </c>
      <c r="BQ653" s="5"/>
      <c r="BR653"/>
      <c r="BS653"/>
      <c r="BU653" s="5"/>
      <c r="BX653" s="5"/>
      <c r="BY653" s="5"/>
      <c r="CA653" s="5"/>
      <c r="CB653" s="5"/>
      <c r="CC653" s="5"/>
      <c r="CD653" s="5"/>
      <c r="CH653" s="44"/>
    </row>
    <row r="654" spans="1:86" x14ac:dyDescent="0.2">
      <c r="A654" s="3" t="s">
        <v>23</v>
      </c>
      <c r="B654" s="39">
        <v>746</v>
      </c>
      <c r="C654" s="82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R654" s="1"/>
      <c r="S654" s="1"/>
      <c r="T654" s="1"/>
      <c r="U654" s="1"/>
      <c r="V654" s="1"/>
      <c r="W654" s="5"/>
      <c r="X654" s="1"/>
      <c r="Y654" s="5"/>
      <c r="Z654" s="1"/>
      <c r="AG654" s="5"/>
      <c r="AH654" s="5"/>
      <c r="AK654" s="5"/>
      <c r="AM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>
        <v>5.2999999999999999E-2</v>
      </c>
      <c r="BK654" s="5">
        <v>5.6000000000000001E-2</v>
      </c>
      <c r="BL654" s="5">
        <v>5.8000000000000003E-2</v>
      </c>
      <c r="BM654" s="5">
        <v>6.0999999999999999E-2</v>
      </c>
      <c r="BN654">
        <v>6.3E-2</v>
      </c>
      <c r="BO654">
        <v>6.6000000000000003E-2</v>
      </c>
      <c r="BP654"/>
      <c r="BQ654" s="5"/>
      <c r="BR654"/>
      <c r="BS654"/>
      <c r="BU654" s="5"/>
      <c r="BX654" s="5"/>
      <c r="BY654" s="5"/>
      <c r="CA654" s="5"/>
      <c r="CB654" s="5"/>
      <c r="CC654" s="5"/>
      <c r="CD654" s="5"/>
      <c r="CH654" s="44"/>
    </row>
    <row r="655" spans="1:86" x14ac:dyDescent="0.2">
      <c r="A655" s="3" t="s">
        <v>23</v>
      </c>
      <c r="B655" s="39">
        <v>746</v>
      </c>
      <c r="C655" s="82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R655" s="1"/>
      <c r="S655" s="1"/>
      <c r="T655" s="1"/>
      <c r="U655" s="1"/>
      <c r="V655" s="1"/>
      <c r="W655" s="5"/>
      <c r="X655" s="1"/>
      <c r="Y655" s="5"/>
      <c r="Z655" s="1"/>
      <c r="AG655" s="5"/>
      <c r="AH655" s="5"/>
      <c r="AK655" s="5"/>
      <c r="AM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>
        <v>4.7E-2</v>
      </c>
      <c r="BK655" s="5">
        <v>5.0999999999999997E-2</v>
      </c>
      <c r="BL655" s="5">
        <v>5.5E-2</v>
      </c>
      <c r="BM655" s="5">
        <v>5.8999999999999997E-2</v>
      </c>
      <c r="BN655">
        <v>6.2E-2</v>
      </c>
      <c r="BO655">
        <v>6.5000000000000002E-2</v>
      </c>
      <c r="BP655"/>
      <c r="BQ655" s="5"/>
      <c r="BR655"/>
      <c r="BS655"/>
      <c r="BU655" s="5"/>
      <c r="BX655" s="5"/>
      <c r="BY655" s="5"/>
      <c r="CA655" s="5"/>
      <c r="CB655" s="5"/>
      <c r="CC655" s="5"/>
      <c r="CD655" s="5"/>
      <c r="CH655" s="44"/>
    </row>
    <row r="656" spans="1:86" x14ac:dyDescent="0.2">
      <c r="A656" s="3" t="s">
        <v>23</v>
      </c>
      <c r="B656" s="39">
        <v>747</v>
      </c>
      <c r="C656" s="82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R656" s="1"/>
      <c r="S656" s="1"/>
      <c r="T656" s="1"/>
      <c r="U656" s="1"/>
      <c r="V656" s="1"/>
      <c r="W656" s="5"/>
      <c r="X656" s="1"/>
      <c r="Y656" s="5"/>
      <c r="Z656" s="1"/>
      <c r="AG656" s="5"/>
      <c r="AH656" s="5"/>
      <c r="AK656" s="5"/>
      <c r="AM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>
        <v>3.7400000000000003E-2</v>
      </c>
      <c r="BF656" s="5"/>
      <c r="BG656" s="5"/>
      <c r="BH656" s="5"/>
      <c r="BI656" s="5"/>
      <c r="BJ656" s="5"/>
      <c r="BK656" s="5"/>
      <c r="BL656" s="5"/>
      <c r="BM656" s="5"/>
      <c r="BP656"/>
      <c r="BQ656" s="5">
        <v>7.2499999999999995E-2</v>
      </c>
      <c r="BR656"/>
      <c r="BS656"/>
      <c r="BU656" s="5"/>
      <c r="BX656" s="5"/>
      <c r="BY656" s="5"/>
      <c r="CA656" s="5"/>
      <c r="CB656" s="5"/>
      <c r="CC656" s="5"/>
      <c r="CD656" s="5"/>
      <c r="CH656" s="44"/>
    </row>
    <row r="657" spans="1:86" x14ac:dyDescent="0.2">
      <c r="A657" s="3" t="s">
        <v>23</v>
      </c>
      <c r="B657" s="39">
        <v>747</v>
      </c>
      <c r="C657" s="82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R657" s="1"/>
      <c r="S657" s="1"/>
      <c r="T657" s="1"/>
      <c r="U657" s="1"/>
      <c r="V657" s="1"/>
      <c r="W657" s="5"/>
      <c r="X657" s="1"/>
      <c r="Y657" s="1"/>
      <c r="Z657" s="1"/>
      <c r="AM657" s="5"/>
      <c r="AQ657" s="5"/>
      <c r="AU657" s="5"/>
      <c r="AZ657" s="5"/>
      <c r="BA657" s="5"/>
      <c r="BB657" s="5"/>
      <c r="BC657" s="5"/>
      <c r="BD657" s="5"/>
      <c r="BE657" s="5">
        <v>2.2800000000000001E-2</v>
      </c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>
        <v>4.8800000000000003E-2</v>
      </c>
      <c r="BR657"/>
      <c r="BS657"/>
      <c r="BU657" s="5"/>
      <c r="CH657" s="44"/>
    </row>
    <row r="658" spans="1:86" x14ac:dyDescent="0.2">
      <c r="A658" s="3" t="s">
        <v>23</v>
      </c>
      <c r="B658" s="39">
        <v>748</v>
      </c>
      <c r="C658" s="82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R658" s="1"/>
      <c r="S658" s="1"/>
      <c r="T658" s="1"/>
      <c r="U658" s="1"/>
      <c r="V658" s="1"/>
      <c r="W658" s="5"/>
      <c r="X658" s="1"/>
      <c r="Y658" s="1"/>
      <c r="Z658" s="1"/>
      <c r="AM658" s="5"/>
      <c r="AQ658" s="5"/>
      <c r="AU658" s="5"/>
      <c r="AZ658" s="5"/>
      <c r="BA658" s="5"/>
      <c r="BB658" s="5"/>
      <c r="BC658" s="5"/>
      <c r="BD658" s="5"/>
      <c r="BE658" s="5"/>
      <c r="BF658" s="5"/>
      <c r="BG658" s="5"/>
      <c r="BH658" s="5">
        <v>4.7E-2</v>
      </c>
      <c r="BI658" s="5"/>
      <c r="BJ658" s="5"/>
      <c r="BK658" s="5"/>
      <c r="BL658" s="5"/>
      <c r="BM658" s="5"/>
      <c r="BN658" s="5"/>
      <c r="BO658" s="5"/>
      <c r="BP658" s="5"/>
      <c r="BQ658" s="5"/>
      <c r="BR658"/>
      <c r="BS658" s="5">
        <v>7.2999999999999995E-2</v>
      </c>
      <c r="BU658" s="5"/>
      <c r="CH658" s="44"/>
    </row>
    <row r="659" spans="1:86" x14ac:dyDescent="0.2">
      <c r="A659" s="3" t="s">
        <v>23</v>
      </c>
      <c r="B659" s="39">
        <v>748</v>
      </c>
      <c r="C659" s="82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R659" s="1"/>
      <c r="S659" s="1"/>
      <c r="T659" s="1"/>
      <c r="U659" s="1"/>
      <c r="V659" s="1"/>
      <c r="W659" s="5"/>
      <c r="X659" s="1"/>
      <c r="Y659" s="1"/>
      <c r="Z659" s="1"/>
      <c r="AM659" s="5"/>
      <c r="AQ659" s="5"/>
      <c r="AU659" s="5"/>
      <c r="AZ659" s="5"/>
      <c r="BA659" s="5"/>
      <c r="BB659" s="5"/>
      <c r="BC659" s="5"/>
      <c r="BD659" s="5"/>
      <c r="BE659" s="5"/>
      <c r="BF659" s="5"/>
      <c r="BG659" s="5"/>
      <c r="BH659" s="5">
        <v>3.7999999999999999E-2</v>
      </c>
      <c r="BI659" s="5"/>
      <c r="BJ659" s="5"/>
      <c r="BK659" s="5"/>
      <c r="BL659" s="5"/>
      <c r="BM659" s="5"/>
      <c r="BN659" s="5"/>
      <c r="BO659" s="5"/>
      <c r="BP659" s="5"/>
      <c r="BQ659" s="5"/>
      <c r="BR659"/>
      <c r="BS659" s="5">
        <v>5.6000000000000001E-2</v>
      </c>
      <c r="BU659" s="5"/>
      <c r="CH659" s="44"/>
    </row>
    <row r="660" spans="1:86" x14ac:dyDescent="0.2">
      <c r="A660" s="3" t="s">
        <v>23</v>
      </c>
      <c r="B660" s="39">
        <v>749</v>
      </c>
      <c r="C660" s="82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R660" s="1"/>
      <c r="S660" s="1"/>
      <c r="T660" s="1"/>
      <c r="U660" s="1"/>
      <c r="V660" s="1"/>
      <c r="W660" s="5"/>
      <c r="X660" s="1"/>
      <c r="Y660" s="1"/>
      <c r="Z660" s="1"/>
      <c r="AM660" s="5"/>
      <c r="AQ660" s="5"/>
      <c r="AU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>
        <v>0.105</v>
      </c>
      <c r="BL660" s="5"/>
      <c r="BM660" s="5"/>
      <c r="BN660" s="5"/>
      <c r="BO660" s="5"/>
      <c r="BP660" s="5"/>
      <c r="BQ660" s="5"/>
      <c r="BR660"/>
      <c r="BS660" s="5"/>
      <c r="BT660" s="5">
        <v>0.14299999999999999</v>
      </c>
      <c r="BU660" s="5"/>
      <c r="CH660" s="44"/>
    </row>
    <row r="661" spans="1:86" x14ac:dyDescent="0.2">
      <c r="A661" s="3" t="s">
        <v>23</v>
      </c>
      <c r="B661" s="39">
        <v>750</v>
      </c>
      <c r="C661" s="82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R661" s="1"/>
      <c r="S661" s="1"/>
      <c r="T661" s="1"/>
      <c r="U661" s="1"/>
      <c r="V661" s="1"/>
      <c r="W661" s="5"/>
      <c r="X661" s="1"/>
      <c r="Y661" s="1"/>
      <c r="Z661" s="1"/>
      <c r="AM661" s="5"/>
      <c r="AQ661" s="5"/>
      <c r="AU661" s="5"/>
      <c r="AZ661" s="5">
        <v>8.3000000000000004E-2</v>
      </c>
      <c r="BA661" s="5"/>
      <c r="BB661" s="5"/>
      <c r="BC661" s="5"/>
      <c r="BD661" s="5"/>
      <c r="BE661" s="5"/>
      <c r="BF661" s="5">
        <v>0.11600000000000001</v>
      </c>
      <c r="BG661" s="5"/>
      <c r="BH661" s="5"/>
      <c r="BI661" s="5"/>
      <c r="BJ661" s="5">
        <v>0.13900000000000001</v>
      </c>
      <c r="BK661" s="5"/>
      <c r="BL661" s="5"/>
      <c r="BM661" s="5"/>
      <c r="BN661" s="5">
        <v>0.14299999999999999</v>
      </c>
      <c r="BO661" s="5"/>
      <c r="BP661" s="5">
        <v>0.186</v>
      </c>
      <c r="BQ661" s="5"/>
      <c r="BR661"/>
      <c r="BS661" s="5"/>
      <c r="BT661" s="5"/>
      <c r="BU661" s="5"/>
      <c r="CH661" s="44"/>
    </row>
    <row r="662" spans="1:86" x14ac:dyDescent="0.2">
      <c r="A662" s="3" t="s">
        <v>23</v>
      </c>
      <c r="B662" s="39">
        <v>750</v>
      </c>
      <c r="C662" s="82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R662" s="1"/>
      <c r="S662" s="1"/>
      <c r="T662" s="1"/>
      <c r="U662" s="1"/>
      <c r="V662" s="1"/>
      <c r="W662" s="5"/>
      <c r="X662" s="1"/>
      <c r="Y662" s="1"/>
      <c r="Z662" s="1"/>
      <c r="AM662" s="5"/>
      <c r="AQ662" s="5"/>
      <c r="AU662" s="5"/>
      <c r="AZ662" s="5">
        <v>2.1999999999999999E-2</v>
      </c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>
        <v>6.4000000000000001E-2</v>
      </c>
      <c r="BO662" s="5"/>
      <c r="BP662" s="5">
        <v>9.1999999999999998E-2</v>
      </c>
      <c r="BQ662" s="5"/>
      <c r="BR662"/>
      <c r="BS662" s="5"/>
      <c r="BT662" s="5"/>
      <c r="BU662" s="5"/>
      <c r="CH662" s="44"/>
    </row>
    <row r="663" spans="1:86" x14ac:dyDescent="0.2">
      <c r="A663" s="3" t="s">
        <v>23</v>
      </c>
      <c r="B663" s="39">
        <v>750</v>
      </c>
      <c r="C663" s="82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R663" s="1"/>
      <c r="S663" s="1"/>
      <c r="T663" s="1"/>
      <c r="U663" s="1"/>
      <c r="V663" s="1"/>
      <c r="W663" s="5"/>
      <c r="X663" s="1"/>
      <c r="Y663" s="1"/>
      <c r="Z663" s="1"/>
      <c r="AM663" s="5"/>
      <c r="AQ663" s="5"/>
      <c r="AU663" s="5"/>
      <c r="AZ663" s="5">
        <v>2.5000000000000001E-2</v>
      </c>
      <c r="BA663" s="5"/>
      <c r="BB663" s="5"/>
      <c r="BC663" s="5"/>
      <c r="BD663" s="5"/>
      <c r="BE663" s="5"/>
      <c r="BF663" s="5"/>
      <c r="BG663" s="5"/>
      <c r="BH663" s="5"/>
      <c r="BI663" s="5"/>
      <c r="BJ663" s="5">
        <v>8.5000000000000006E-2</v>
      </c>
      <c r="BK663" s="5"/>
      <c r="BL663" s="5"/>
      <c r="BM663" s="5"/>
      <c r="BN663" s="5"/>
      <c r="BO663" s="5"/>
      <c r="BP663" s="5"/>
      <c r="BQ663" s="5"/>
      <c r="BR663"/>
      <c r="BS663" s="5"/>
      <c r="BT663" s="5"/>
      <c r="BU663" s="5"/>
      <c r="CH663" s="44"/>
    </row>
    <row r="664" spans="1:86" x14ac:dyDescent="0.2">
      <c r="A664" s="3" t="s">
        <v>23</v>
      </c>
      <c r="B664" s="39">
        <v>750</v>
      </c>
      <c r="C664" s="82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R664" s="1"/>
      <c r="S664" s="1"/>
      <c r="T664" s="1"/>
      <c r="U664" s="1"/>
      <c r="V664" s="1"/>
      <c r="W664" s="5"/>
      <c r="X664" s="1"/>
      <c r="Y664" s="1"/>
      <c r="Z664" s="1"/>
      <c r="AM664" s="5"/>
      <c r="AQ664" s="5"/>
      <c r="AU664" s="5"/>
      <c r="AZ664" s="5">
        <v>5.2999999999999999E-2</v>
      </c>
      <c r="BA664" s="5"/>
      <c r="BB664" s="5"/>
      <c r="BC664" s="5"/>
      <c r="BD664" s="5"/>
      <c r="BE664" s="5"/>
      <c r="BF664" s="5"/>
      <c r="BG664" s="5"/>
      <c r="BH664" s="5"/>
      <c r="BI664" s="5"/>
      <c r="BJ664" s="5">
        <v>6.5000000000000002E-2</v>
      </c>
      <c r="BK664" s="5"/>
      <c r="BL664" s="5"/>
      <c r="BM664" s="5"/>
      <c r="BN664" s="5"/>
      <c r="BO664" s="5"/>
      <c r="BP664" s="5"/>
      <c r="BQ664" s="5"/>
      <c r="BR664"/>
      <c r="BS664" s="5"/>
      <c r="BT664" s="5"/>
      <c r="BU664" s="5"/>
      <c r="CH664" s="44"/>
    </row>
    <row r="665" spans="1:86" x14ac:dyDescent="0.2">
      <c r="A665" s="3" t="s">
        <v>23</v>
      </c>
      <c r="B665" s="39">
        <v>750</v>
      </c>
      <c r="C665" s="82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R665" s="1"/>
      <c r="S665" s="1"/>
      <c r="T665" s="1"/>
      <c r="U665" s="1"/>
      <c r="V665" s="1"/>
      <c r="W665" s="5"/>
      <c r="X665" s="1"/>
      <c r="Y665" s="1"/>
      <c r="Z665" s="1"/>
      <c r="AM665" s="5"/>
      <c r="AQ665" s="5"/>
      <c r="AU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>
        <v>2.3E-2</v>
      </c>
      <c r="BK665" s="5"/>
      <c r="BL665" s="5"/>
      <c r="BM665" s="5"/>
      <c r="BN665" s="5"/>
      <c r="BO665" s="5">
        <v>6.8000000000000005E-2</v>
      </c>
      <c r="BP665" s="5"/>
      <c r="BQ665" s="5"/>
      <c r="BR665"/>
      <c r="BS665" s="5"/>
      <c r="BT665" s="5"/>
      <c r="BU665" s="5"/>
      <c r="CH665" s="44"/>
    </row>
    <row r="666" spans="1:86" x14ac:dyDescent="0.2">
      <c r="A666" s="3" t="s">
        <v>23</v>
      </c>
      <c r="B666" s="39">
        <v>749</v>
      </c>
      <c r="C666" s="82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R666" s="1"/>
      <c r="S666" s="1"/>
      <c r="T666" s="1"/>
      <c r="U666" s="1"/>
      <c r="V666" s="1"/>
      <c r="W666" s="5"/>
      <c r="X666" s="1"/>
      <c r="Y666" s="1"/>
      <c r="Z666" s="1"/>
      <c r="AM666" s="5"/>
      <c r="AQ666" s="5"/>
      <c r="AU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>
        <v>5.0999999999999997E-2</v>
      </c>
      <c r="BO666" s="5"/>
      <c r="BP666" s="5"/>
      <c r="BQ666" s="5"/>
      <c r="BR666"/>
      <c r="BS666" s="5"/>
      <c r="BT666" s="5">
        <v>7.3999999999999996E-2</v>
      </c>
      <c r="BU666" s="5"/>
      <c r="CH666" s="44"/>
    </row>
    <row r="667" spans="1:86" x14ac:dyDescent="0.2">
      <c r="A667" s="3" t="s">
        <v>23</v>
      </c>
      <c r="B667" s="39">
        <v>751</v>
      </c>
      <c r="C667" s="82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R667" s="1"/>
      <c r="S667" s="1"/>
      <c r="T667" s="1"/>
      <c r="U667" s="1"/>
      <c r="V667" s="1"/>
      <c r="W667" s="5"/>
      <c r="X667" s="1"/>
      <c r="Y667" s="1"/>
      <c r="Z667" s="1"/>
      <c r="AM667" s="5"/>
      <c r="AQ667" s="5"/>
      <c r="AU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>
        <v>5.79E-2</v>
      </c>
      <c r="BL667" s="5"/>
      <c r="BM667" s="5"/>
      <c r="BN667" s="5"/>
      <c r="BO667" s="5"/>
      <c r="BP667" s="5"/>
      <c r="BQ667" s="5"/>
      <c r="BR667" s="5">
        <v>8.3000000000000004E-2</v>
      </c>
      <c r="BS667" s="5"/>
      <c r="BT667" s="5"/>
      <c r="BU667" s="5"/>
      <c r="CH667" s="44"/>
    </row>
    <row r="668" spans="1:86" x14ac:dyDescent="0.2">
      <c r="A668" s="3" t="s">
        <v>23</v>
      </c>
      <c r="B668" s="39">
        <v>752</v>
      </c>
      <c r="C668" s="82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R668" s="1"/>
      <c r="S668" s="1"/>
      <c r="T668" s="1"/>
      <c r="U668" s="1"/>
      <c r="V668" s="1"/>
      <c r="W668" s="5"/>
      <c r="X668" s="1"/>
      <c r="Y668" s="1"/>
      <c r="Z668" s="1"/>
      <c r="AM668" s="5"/>
      <c r="AQ668" s="5"/>
      <c r="AU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>
        <v>2.3E-2</v>
      </c>
      <c r="BK668" s="5"/>
      <c r="BL668" s="5"/>
      <c r="BM668" s="5"/>
      <c r="BN668" s="5"/>
      <c r="BO668" s="5">
        <v>6.8000000000000005E-2</v>
      </c>
      <c r="BP668" s="5"/>
      <c r="BQ668" s="5"/>
      <c r="BR668" s="5"/>
      <c r="BS668" s="5"/>
      <c r="BT668" s="5">
        <v>7.9000000000000001E-2</v>
      </c>
      <c r="BU668" s="5"/>
      <c r="CH668" s="44"/>
    </row>
    <row r="669" spans="1:86" x14ac:dyDescent="0.2">
      <c r="A669" s="3" t="s">
        <v>23</v>
      </c>
      <c r="B669" s="39">
        <v>753</v>
      </c>
      <c r="C669" s="82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R669" s="1"/>
      <c r="S669" s="1"/>
      <c r="T669" s="1"/>
      <c r="U669" s="1"/>
      <c r="V669" s="1"/>
      <c r="W669" s="5"/>
      <c r="X669" s="1"/>
      <c r="Y669" s="1"/>
      <c r="Z669" s="1"/>
      <c r="AM669" s="5"/>
      <c r="AQ669" s="5"/>
      <c r="AU669" s="5"/>
      <c r="AZ669" s="5"/>
      <c r="BA669" s="5"/>
      <c r="BB669" s="5"/>
      <c r="BC669" s="5"/>
      <c r="BD669" s="5"/>
      <c r="BE669" s="5">
        <v>6.2E-2</v>
      </c>
      <c r="BF669" s="5"/>
      <c r="BG669" s="5"/>
      <c r="BH669" s="5"/>
      <c r="BI669" s="5"/>
      <c r="BJ669" s="5"/>
      <c r="BL669" s="5"/>
      <c r="BM669" s="5"/>
      <c r="BN669" s="5"/>
      <c r="BO669" s="5">
        <v>8.7999999999999995E-2</v>
      </c>
      <c r="BP669" s="5"/>
      <c r="BQ669" s="5"/>
      <c r="BR669"/>
      <c r="BS669" s="5"/>
      <c r="BT669" s="5"/>
      <c r="BU669" s="5">
        <v>9.9000000000000005E-2</v>
      </c>
      <c r="CH669" s="44"/>
    </row>
    <row r="670" spans="1:86" x14ac:dyDescent="0.2">
      <c r="A670" s="3" t="s">
        <v>23</v>
      </c>
      <c r="B670" s="39">
        <v>754</v>
      </c>
      <c r="C670" s="82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R670" s="1"/>
      <c r="S670" s="1"/>
      <c r="T670" s="1"/>
      <c r="U670" s="1"/>
      <c r="V670" s="1"/>
      <c r="W670" s="5"/>
      <c r="X670" s="1"/>
      <c r="Y670" s="1"/>
      <c r="Z670" s="1"/>
      <c r="AM670" s="5"/>
      <c r="AQ670" s="5"/>
      <c r="AU670" s="5"/>
      <c r="AY670" s="5">
        <v>0.14599999999999999</v>
      </c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L670" s="5"/>
      <c r="BM670" s="5">
        <v>0.20799999999999999</v>
      </c>
      <c r="BN670" s="5"/>
      <c r="BO670" s="5"/>
      <c r="BP670" s="5"/>
      <c r="BQ670" s="5"/>
      <c r="BR670"/>
      <c r="BS670" s="5"/>
      <c r="BT670" s="5"/>
      <c r="BU670" s="5"/>
      <c r="CH670" s="44"/>
    </row>
    <row r="671" spans="1:86" x14ac:dyDescent="0.2">
      <c r="A671" s="3" t="s">
        <v>23</v>
      </c>
      <c r="B671" s="39">
        <v>754</v>
      </c>
      <c r="C671" s="82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R671" s="1"/>
      <c r="S671" s="1"/>
      <c r="T671" s="1"/>
      <c r="U671" s="1"/>
      <c r="V671" s="1"/>
      <c r="W671" s="5"/>
      <c r="X671" s="1"/>
      <c r="Y671" s="1"/>
      <c r="Z671" s="1"/>
      <c r="AM671" s="5"/>
      <c r="AQ671" s="5"/>
      <c r="AU671" s="5"/>
      <c r="AY671" s="5">
        <v>9.0999999999999998E-2</v>
      </c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L671" s="5"/>
      <c r="BM671" s="5">
        <v>0.112</v>
      </c>
      <c r="BN671" s="5"/>
      <c r="BO671" s="5"/>
      <c r="BP671" s="5"/>
      <c r="BQ671" s="5"/>
      <c r="BR671"/>
      <c r="BS671" s="5"/>
      <c r="BT671" s="5"/>
      <c r="BU671" s="5"/>
      <c r="CH671" s="44"/>
    </row>
    <row r="672" spans="1:86" x14ac:dyDescent="0.2">
      <c r="A672" s="3" t="s">
        <v>23</v>
      </c>
      <c r="B672" s="39">
        <v>755</v>
      </c>
      <c r="C672" s="82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R672" s="1"/>
      <c r="S672" s="1"/>
      <c r="T672" s="1"/>
      <c r="U672" s="1"/>
      <c r="V672" s="1"/>
      <c r="W672" s="5"/>
      <c r="X672" s="1"/>
      <c r="Y672" s="1"/>
      <c r="Z672" s="1"/>
      <c r="AM672" s="5"/>
      <c r="AQ672" s="5"/>
      <c r="AU672" s="5"/>
      <c r="AY672" s="5"/>
      <c r="AZ672" s="5">
        <v>0.106</v>
      </c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L672" s="5"/>
      <c r="BM672" s="5"/>
      <c r="BN672" s="5"/>
      <c r="BO672" s="5"/>
      <c r="BP672" s="5"/>
      <c r="BQ672" s="5"/>
      <c r="BR672"/>
      <c r="BS672" s="5"/>
      <c r="BT672" s="5">
        <v>0.32100000000000001</v>
      </c>
      <c r="BU672" s="5"/>
      <c r="CH672" s="44"/>
    </row>
    <row r="673" spans="1:86" x14ac:dyDescent="0.2">
      <c r="A673" s="3" t="s">
        <v>23</v>
      </c>
      <c r="B673" s="39">
        <v>756</v>
      </c>
      <c r="C673" s="82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R673" s="1"/>
      <c r="S673" s="1"/>
      <c r="T673" s="1"/>
      <c r="U673" s="1"/>
      <c r="V673" s="1"/>
      <c r="W673" s="5"/>
      <c r="X673" s="1"/>
      <c r="Y673" s="1"/>
      <c r="Z673" s="1"/>
      <c r="AM673" s="5"/>
      <c r="AQ673" s="5"/>
      <c r="AU673" s="5"/>
      <c r="AY673" s="5"/>
      <c r="AZ673" s="5"/>
      <c r="BA673" s="5">
        <v>3.5000000000000003E-2</v>
      </c>
      <c r="BB673" s="5"/>
      <c r="BC673" s="5"/>
      <c r="BD673" s="5"/>
      <c r="BE673" s="5"/>
      <c r="BF673" s="5"/>
      <c r="BG673" s="5"/>
      <c r="BH673" s="5"/>
      <c r="BI673" s="5"/>
      <c r="BJ673" s="5"/>
      <c r="BL673" s="5"/>
      <c r="BM673" s="5"/>
      <c r="BN673" s="5"/>
      <c r="BO673" s="5"/>
      <c r="BP673" s="5"/>
      <c r="BQ673" s="5"/>
      <c r="BR673"/>
      <c r="BS673" s="5">
        <v>7.9000000000000001E-2</v>
      </c>
      <c r="BT673" s="5"/>
      <c r="BU673" s="5"/>
      <c r="BW673" s="5">
        <v>8.3000000000000004E-2</v>
      </c>
      <c r="CH673" s="44"/>
    </row>
    <row r="674" spans="1:86" x14ac:dyDescent="0.2">
      <c r="A674" s="3" t="s">
        <v>23</v>
      </c>
      <c r="B674" s="39">
        <v>757</v>
      </c>
      <c r="C674" s="82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R674" s="1"/>
      <c r="S674" s="1"/>
      <c r="T674" s="1"/>
      <c r="U674" s="1"/>
      <c r="V674" s="1"/>
      <c r="W674" s="5"/>
      <c r="X674" s="1"/>
      <c r="Y674" s="1"/>
      <c r="Z674" s="1"/>
      <c r="AM674" s="5"/>
      <c r="AQ674" s="5"/>
      <c r="AU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L674" s="5"/>
      <c r="BM674" s="5"/>
      <c r="BN674" s="5"/>
      <c r="BO674" s="5"/>
      <c r="BP674" s="5"/>
      <c r="BQ674" s="5"/>
      <c r="BR674" s="5">
        <v>5.8000000000000003E-2</v>
      </c>
      <c r="BS674" s="5"/>
      <c r="BT674" s="5"/>
      <c r="BU674" s="5"/>
      <c r="BW674" s="5"/>
      <c r="BX674" s="5">
        <v>6.8000000000000005E-2</v>
      </c>
      <c r="CH674" s="44"/>
    </row>
    <row r="675" spans="1:86" x14ac:dyDescent="0.2">
      <c r="A675" s="3" t="s">
        <v>23</v>
      </c>
      <c r="B675" s="39">
        <v>758</v>
      </c>
      <c r="C675" s="82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R675" s="1"/>
      <c r="S675" s="1"/>
      <c r="T675" s="1"/>
      <c r="U675" s="1"/>
      <c r="V675" s="1"/>
      <c r="W675" s="5"/>
      <c r="X675" s="1"/>
      <c r="Y675" s="1"/>
      <c r="Z675" s="1"/>
      <c r="AM675" s="5"/>
      <c r="AQ675" s="5"/>
      <c r="AU675" s="5"/>
      <c r="AY675" s="5"/>
      <c r="AZ675" s="5"/>
      <c r="BA675" s="5"/>
      <c r="BB675" s="5"/>
      <c r="BC675" s="5"/>
      <c r="BD675" s="5"/>
      <c r="BE675" s="5">
        <v>9.8000000000000004E-2</v>
      </c>
      <c r="BF675" s="5"/>
      <c r="BG675" s="5"/>
      <c r="BH675" s="5"/>
      <c r="BI675" s="5"/>
      <c r="BJ675" s="5"/>
      <c r="BK675" s="5">
        <v>9.8000000000000004E-2</v>
      </c>
      <c r="BL675" s="5"/>
      <c r="BM675" s="5">
        <v>0.108</v>
      </c>
      <c r="BN675" s="5"/>
      <c r="BO675" s="5">
        <v>0.11700000000000001</v>
      </c>
      <c r="BP675" s="5"/>
      <c r="BQ675" s="5">
        <v>0.108</v>
      </c>
      <c r="BR675" s="5"/>
      <c r="BS675" s="5">
        <v>0.125</v>
      </c>
      <c r="BT675" s="5"/>
      <c r="BU675" s="5">
        <v>0.121</v>
      </c>
      <c r="BW675" s="5">
        <v>0.124</v>
      </c>
      <c r="BX675" s="5"/>
      <c r="CH675" s="44"/>
    </row>
    <row r="676" spans="1:86" x14ac:dyDescent="0.2">
      <c r="A676" s="3" t="s">
        <v>23</v>
      </c>
      <c r="B676" s="39">
        <v>759</v>
      </c>
      <c r="C676" s="82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R676" s="1"/>
      <c r="S676" s="1"/>
      <c r="T676" s="1"/>
      <c r="U676" s="1"/>
      <c r="V676" s="1"/>
      <c r="W676" s="5"/>
      <c r="X676" s="1"/>
      <c r="Y676" s="1"/>
      <c r="Z676" s="1"/>
      <c r="AM676" s="5"/>
      <c r="AQ676" s="5"/>
      <c r="AU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>
        <v>6.7100000000000007E-2</v>
      </c>
      <c r="BM676" s="5">
        <v>7.0300000000000001E-2</v>
      </c>
      <c r="BN676" s="5">
        <v>7.8100000000000003E-2</v>
      </c>
      <c r="BO676" s="5">
        <v>8.7300000000000003E-2</v>
      </c>
      <c r="BP676" s="5">
        <v>9.7799999999999998E-2</v>
      </c>
      <c r="BQ676" s="5">
        <v>0.107</v>
      </c>
      <c r="BR676" s="5">
        <v>0.112</v>
      </c>
      <c r="BS676" s="5">
        <v>0.11600000000000001</v>
      </c>
      <c r="BT676" s="5">
        <v>0.121</v>
      </c>
      <c r="BU676" s="5">
        <v>0.128</v>
      </c>
      <c r="BV676" s="5">
        <v>0.13500000000000001</v>
      </c>
      <c r="BW676" s="5">
        <v>0.14000000000000001</v>
      </c>
      <c r="BX676" s="5">
        <v>0.14399999999999999</v>
      </c>
      <c r="BY676" s="5">
        <v>0.14899999999999999</v>
      </c>
      <c r="CH676" s="44"/>
    </row>
    <row r="677" spans="1:86" x14ac:dyDescent="0.2">
      <c r="A677" s="3" t="s">
        <v>23</v>
      </c>
      <c r="B677" s="39">
        <v>760</v>
      </c>
      <c r="C677" s="82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R677" s="1"/>
      <c r="S677" s="1"/>
      <c r="T677" s="1"/>
      <c r="U677" s="1"/>
      <c r="V677" s="1"/>
      <c r="W677" s="5"/>
      <c r="X677" s="1"/>
      <c r="Y677" s="1"/>
      <c r="Z677" s="1"/>
      <c r="AM677" s="5"/>
      <c r="AQ677" s="5"/>
      <c r="AU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>
        <v>2.3900000000000001E-2</v>
      </c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>
        <v>5.3199999999999997E-2</v>
      </c>
      <c r="BY677" s="5"/>
      <c r="CH677" s="44"/>
    </row>
    <row r="678" spans="1:86" x14ac:dyDescent="0.2">
      <c r="A678" s="3" t="s">
        <v>23</v>
      </c>
      <c r="B678" s="39">
        <v>761</v>
      </c>
      <c r="C678" s="82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R678" s="1"/>
      <c r="S678" s="1"/>
      <c r="T678" s="1"/>
      <c r="U678" s="1"/>
      <c r="V678" s="1"/>
      <c r="W678" s="5"/>
      <c r="X678" s="1"/>
      <c r="Y678" s="1"/>
      <c r="Z678" s="1"/>
      <c r="AM678" s="5"/>
      <c r="AQ678" s="5"/>
      <c r="AU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>
        <v>8.2000000000000003E-2</v>
      </c>
      <c r="BS678" s="5"/>
      <c r="BT678" s="5"/>
      <c r="BU678" s="5"/>
      <c r="BV678" s="5"/>
      <c r="BW678" s="5">
        <v>8.3000000000000004E-2</v>
      </c>
      <c r="BX678" s="5"/>
      <c r="BY678" s="5"/>
      <c r="CH678" s="44"/>
    </row>
    <row r="679" spans="1:86" x14ac:dyDescent="0.2">
      <c r="A679" s="3" t="s">
        <v>23</v>
      </c>
      <c r="B679" s="39">
        <v>762</v>
      </c>
      <c r="C679" s="82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R679" s="1"/>
      <c r="S679" s="1"/>
      <c r="T679" s="1"/>
      <c r="U679" s="1"/>
      <c r="V679" s="1"/>
      <c r="W679" s="5"/>
      <c r="X679" s="1"/>
      <c r="Y679" s="1"/>
      <c r="Z679" s="1"/>
      <c r="AM679" s="5"/>
      <c r="AQ679" s="5"/>
      <c r="AU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>
        <v>3.2000000000000001E-2</v>
      </c>
      <c r="BP679" s="5"/>
      <c r="BQ679" s="5"/>
      <c r="BR679" s="5"/>
      <c r="BS679" s="5"/>
      <c r="BT679" s="5"/>
      <c r="BU679" s="5"/>
      <c r="BV679" s="5"/>
      <c r="BW679" s="5"/>
      <c r="BX679" s="5">
        <v>5.0999999999999997E-2</v>
      </c>
      <c r="BY679" s="5"/>
      <c r="CH679" s="44"/>
    </row>
    <row r="680" spans="1:86" x14ac:dyDescent="0.2">
      <c r="A680" s="3" t="s">
        <v>23</v>
      </c>
      <c r="B680" s="39">
        <v>763</v>
      </c>
      <c r="C680" s="82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R680" s="1"/>
      <c r="S680" s="1"/>
      <c r="T680" s="1"/>
      <c r="U680" s="1"/>
      <c r="V680" s="1"/>
      <c r="W680" s="5"/>
      <c r="X680" s="1"/>
      <c r="Y680" s="1"/>
      <c r="Z680" s="1"/>
      <c r="AM680" s="5"/>
      <c r="AQ680" s="5"/>
      <c r="AU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>
        <v>1.7999999999999999E-2</v>
      </c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>
        <v>4.9000000000000002E-2</v>
      </c>
      <c r="CH680" s="44"/>
    </row>
    <row r="681" spans="1:86" x14ac:dyDescent="0.2">
      <c r="A681" s="3" t="s">
        <v>23</v>
      </c>
      <c r="B681" s="39">
        <v>764</v>
      </c>
      <c r="C681" s="82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R681" s="1"/>
      <c r="S681" s="1"/>
      <c r="T681" s="1"/>
      <c r="U681" s="1"/>
      <c r="V681" s="1"/>
      <c r="W681" s="5"/>
      <c r="X681" s="1"/>
      <c r="Y681" s="1"/>
      <c r="Z681" s="1"/>
      <c r="AM681" s="5"/>
      <c r="AQ681" s="5"/>
      <c r="AU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>
        <v>4.9599999999999998E-2</v>
      </c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>
        <v>7.7799999999999994E-2</v>
      </c>
      <c r="BV681" s="5"/>
      <c r="BW681" s="5"/>
      <c r="BX681" s="5"/>
      <c r="BY681" s="5"/>
      <c r="CH681" s="44"/>
    </row>
    <row r="682" spans="1:86" x14ac:dyDescent="0.2">
      <c r="A682" s="3" t="s">
        <v>23</v>
      </c>
      <c r="B682" s="39">
        <v>765</v>
      </c>
      <c r="C682" s="82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R682" s="1"/>
      <c r="S682" s="1"/>
      <c r="T682" s="1"/>
      <c r="U682" s="1"/>
      <c r="V682" s="1"/>
      <c r="W682" s="5"/>
      <c r="X682" s="1"/>
      <c r="Y682" s="1"/>
      <c r="Z682" s="1"/>
      <c r="AM682" s="5"/>
      <c r="AQ682" s="5"/>
      <c r="AU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>
        <v>7.2099999999999997E-2</v>
      </c>
      <c r="BR682" s="5">
        <v>7.7399999999999997E-2</v>
      </c>
      <c r="BS682" s="5">
        <v>8.2299999999999998E-2</v>
      </c>
      <c r="BT682" s="5">
        <v>8.6999999999999994E-2</v>
      </c>
      <c r="BU682" s="5">
        <v>9.06E-2</v>
      </c>
      <c r="BV682" s="5">
        <v>9.4200000000000006E-2</v>
      </c>
      <c r="BW682" s="5">
        <v>9.7699999999999995E-2</v>
      </c>
      <c r="BX682" s="5">
        <v>0.10100000000000001</v>
      </c>
      <c r="BY682" s="5">
        <v>0.10290000000000001</v>
      </c>
      <c r="CH682" s="44"/>
    </row>
    <row r="683" spans="1:86" x14ac:dyDescent="0.2">
      <c r="A683" s="3" t="s">
        <v>23</v>
      </c>
      <c r="B683" s="39">
        <v>680</v>
      </c>
      <c r="C683" s="82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R683" s="1"/>
      <c r="S683" s="1"/>
      <c r="T683" s="1"/>
      <c r="U683" s="1"/>
      <c r="V683" s="1"/>
      <c r="W683" s="5"/>
      <c r="X683" s="1"/>
      <c r="Y683" s="1"/>
      <c r="Z683" s="1"/>
      <c r="AM683" s="5"/>
      <c r="AO683" s="5">
        <v>1.2E-2</v>
      </c>
      <c r="AQ683" s="5"/>
      <c r="AU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>
        <v>0.19600000000000001</v>
      </c>
      <c r="BY683" s="5"/>
      <c r="CH683" s="44"/>
    </row>
    <row r="684" spans="1:86" x14ac:dyDescent="0.2">
      <c r="A684" s="3" t="s">
        <v>23</v>
      </c>
      <c r="B684" s="39">
        <v>680</v>
      </c>
      <c r="C684" s="82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R684" s="1"/>
      <c r="S684" s="1"/>
      <c r="T684" s="1"/>
      <c r="U684" s="1"/>
      <c r="V684" s="1"/>
      <c r="W684" s="5"/>
      <c r="X684" s="1"/>
      <c r="Y684" s="1"/>
      <c r="Z684" s="1"/>
      <c r="AM684" s="5"/>
      <c r="AO684" s="5">
        <v>2.1999999999999999E-2</v>
      </c>
      <c r="AQ684" s="5"/>
      <c r="AU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>
        <v>0.19500000000000001</v>
      </c>
      <c r="BY684" s="5"/>
      <c r="CH684" s="44"/>
    </row>
    <row r="685" spans="1:86" x14ac:dyDescent="0.2">
      <c r="A685" s="3" t="s">
        <v>23</v>
      </c>
      <c r="B685" s="39">
        <v>766</v>
      </c>
      <c r="C685" s="82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R685" s="1"/>
      <c r="S685" s="1"/>
      <c r="T685" s="1"/>
      <c r="U685" s="1"/>
      <c r="V685" s="1"/>
      <c r="W685" s="5"/>
      <c r="X685" s="1"/>
      <c r="Y685" s="1"/>
      <c r="Z685" s="1"/>
      <c r="AM685" s="5"/>
      <c r="AO685" s="5"/>
      <c r="AQ685" s="5"/>
      <c r="AU685" s="5"/>
      <c r="AY685" s="5"/>
      <c r="AZ685" s="5"/>
      <c r="BA685" s="5"/>
      <c r="BB685" s="5"/>
      <c r="BC685" s="5"/>
      <c r="BD685" s="5"/>
      <c r="BE685" s="5"/>
      <c r="BF685" s="5"/>
      <c r="BG685" s="5">
        <v>8.3000000000000004E-2</v>
      </c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>
        <v>0.187</v>
      </c>
      <c r="CH685" s="44"/>
    </row>
    <row r="686" spans="1:86" x14ac:dyDescent="0.2">
      <c r="A686" s="3" t="s">
        <v>23</v>
      </c>
      <c r="B686" s="39">
        <v>767</v>
      </c>
      <c r="C686" s="82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R686" s="1"/>
      <c r="S686" s="1"/>
      <c r="T686" s="1"/>
      <c r="U686" s="1"/>
      <c r="V686" s="1"/>
      <c r="W686" s="5"/>
      <c r="X686" s="1"/>
      <c r="Y686" s="1"/>
      <c r="Z686" s="1"/>
      <c r="AM686" s="5"/>
      <c r="AO686" s="5"/>
      <c r="AQ686" s="5"/>
      <c r="AU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10">
        <v>9.0000000000000006E-5</v>
      </c>
      <c r="BO686" s="5"/>
      <c r="BP686" s="5"/>
      <c r="BQ686" s="5"/>
      <c r="BR686" s="5"/>
      <c r="BS686" s="5"/>
      <c r="BT686" s="5"/>
      <c r="BU686" s="5"/>
      <c r="BV686" s="5"/>
      <c r="BW686" s="5"/>
      <c r="BX686" s="10">
        <v>2.1000000000000001E-4</v>
      </c>
      <c r="BY686" s="5"/>
      <c r="BZ686" s="5"/>
      <c r="CH686" s="44"/>
    </row>
    <row r="687" spans="1:86" x14ac:dyDescent="0.2">
      <c r="A687" s="3" t="s">
        <v>23</v>
      </c>
      <c r="B687" s="39">
        <v>768</v>
      </c>
      <c r="C687" s="82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R687" s="1"/>
      <c r="S687" s="1"/>
      <c r="T687" s="1"/>
      <c r="U687" s="1"/>
      <c r="V687" s="1"/>
      <c r="W687" s="5"/>
      <c r="X687" s="1"/>
      <c r="Y687" s="1"/>
      <c r="Z687" s="1"/>
      <c r="AM687" s="5"/>
      <c r="AO687" s="5"/>
      <c r="AQ687" s="5"/>
      <c r="AU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10">
        <v>7.6999999999999999E-2</v>
      </c>
      <c r="BL687" s="5"/>
      <c r="BM687" s="5"/>
      <c r="BN687" s="10"/>
      <c r="BO687" s="5"/>
      <c r="BP687" s="5"/>
      <c r="BQ687" s="5"/>
      <c r="BR687" s="5"/>
      <c r="BS687" s="5"/>
      <c r="BT687" s="5"/>
      <c r="BU687" s="5"/>
      <c r="BV687" s="5"/>
      <c r="BW687" s="5"/>
      <c r="BX687" s="10"/>
      <c r="BY687" s="5"/>
      <c r="BZ687" s="5"/>
      <c r="CA687" s="10">
        <v>0.13300000000000001</v>
      </c>
      <c r="CH687" s="44"/>
    </row>
    <row r="688" spans="1:86" x14ac:dyDescent="0.2">
      <c r="A688" s="3" t="s">
        <v>23</v>
      </c>
      <c r="B688" s="39">
        <v>716</v>
      </c>
      <c r="C688" s="82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R688" s="1"/>
      <c r="S688" s="1"/>
      <c r="T688" s="1"/>
      <c r="U688" s="1"/>
      <c r="V688" s="1"/>
      <c r="W688" s="5"/>
      <c r="X688" s="1"/>
      <c r="Y688" s="1"/>
      <c r="Z688" s="1"/>
      <c r="AM688" s="5"/>
      <c r="AO688" s="5"/>
      <c r="AQ688" s="5"/>
      <c r="AU688" s="5"/>
      <c r="AY688" s="5"/>
      <c r="AZ688" s="5"/>
      <c r="BA688" s="5"/>
      <c r="BB688" s="5"/>
      <c r="BC688" s="5"/>
      <c r="BD688" s="5"/>
      <c r="BE688" s="5"/>
      <c r="BF688" s="5"/>
      <c r="BG688" s="5">
        <v>1.1599999999999999E-2</v>
      </c>
      <c r="BH688" s="5">
        <v>1.29E-2</v>
      </c>
      <c r="BI688" s="5">
        <v>1.41E-2</v>
      </c>
      <c r="BJ688" s="5">
        <v>1.54E-2</v>
      </c>
      <c r="BK688" s="5">
        <v>1.6799999999999999E-2</v>
      </c>
      <c r="BL688" s="5">
        <v>1.8100000000000002E-2</v>
      </c>
      <c r="BM688" s="5">
        <v>1.9400000000000001E-2</v>
      </c>
      <c r="BN688" s="5">
        <v>2.1100000000000001E-2</v>
      </c>
      <c r="BO688" s="5">
        <v>2.3099999999999999E-2</v>
      </c>
      <c r="BP688" s="5">
        <v>2.52E-2</v>
      </c>
      <c r="BQ688" s="5">
        <v>2.6800000000000001E-2</v>
      </c>
      <c r="BR688" s="5">
        <v>2.8299999999999999E-2</v>
      </c>
      <c r="BS688" s="5">
        <v>2.9899999999999999E-2</v>
      </c>
      <c r="BT688" s="5">
        <v>3.1899999999999998E-2</v>
      </c>
      <c r="BU688" s="5">
        <v>3.4099999999999998E-2</v>
      </c>
      <c r="BV688" s="5">
        <v>3.6600000000000001E-2</v>
      </c>
      <c r="BW688" s="5">
        <v>4.0399999999999998E-2</v>
      </c>
      <c r="BX688" s="5">
        <v>4.2999999999999997E-2</v>
      </c>
      <c r="BY688" s="5">
        <v>4.36E-2</v>
      </c>
      <c r="BZ688" s="5">
        <v>4.5900000000000003E-2</v>
      </c>
      <c r="CA688" s="5">
        <v>4.7E-2</v>
      </c>
      <c r="CB688" s="5">
        <v>4.8300000000000003E-2</v>
      </c>
      <c r="CH688" s="44"/>
    </row>
    <row r="689" spans="1:86" x14ac:dyDescent="0.2">
      <c r="A689" s="3" t="s">
        <v>23</v>
      </c>
      <c r="B689" s="39">
        <v>716</v>
      </c>
      <c r="C689" s="82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R689" s="1"/>
      <c r="S689" s="1"/>
      <c r="T689" s="1"/>
      <c r="U689" s="1"/>
      <c r="V689" s="1"/>
      <c r="W689" s="5"/>
      <c r="X689" s="1"/>
      <c r="Y689" s="1"/>
      <c r="Z689" s="1"/>
      <c r="AM689" s="5"/>
      <c r="AO689" s="5"/>
      <c r="AQ689" s="5"/>
      <c r="AU689" s="5"/>
      <c r="AY689" s="5"/>
      <c r="AZ689" s="5"/>
      <c r="BA689" s="5"/>
      <c r="BB689" s="5"/>
      <c r="BC689" s="5"/>
      <c r="BD689" s="5"/>
      <c r="BE689" s="5"/>
      <c r="BF689" s="5"/>
      <c r="BG689" s="5">
        <v>1.17E-2</v>
      </c>
      <c r="BH689" s="5">
        <v>1.2699999999999999E-2</v>
      </c>
      <c r="BI689" s="5">
        <v>1.3599999999999999E-2</v>
      </c>
      <c r="BJ689" s="5">
        <v>1.4500000000000001E-2</v>
      </c>
      <c r="BK689" s="5">
        <v>1.5599999999999999E-2</v>
      </c>
      <c r="BL689" s="5">
        <v>1.66E-2</v>
      </c>
      <c r="BM689" s="5">
        <v>1.7399999999999999E-2</v>
      </c>
      <c r="BN689" s="5">
        <v>1.9E-2</v>
      </c>
      <c r="BO689" s="5">
        <v>2.06E-2</v>
      </c>
      <c r="BP689" s="5">
        <v>2.23E-2</v>
      </c>
      <c r="BQ689" s="5">
        <v>2.3400000000000001E-2</v>
      </c>
      <c r="BR689" s="5">
        <v>2.4299999999999999E-2</v>
      </c>
      <c r="BS689" s="5">
        <v>2.5399999999999999E-2</v>
      </c>
      <c r="BT689" s="5">
        <v>2.6800000000000001E-2</v>
      </c>
      <c r="BU689" s="5">
        <v>2.8199999999999999E-2</v>
      </c>
      <c r="BV689" s="5">
        <v>2.98E-2</v>
      </c>
      <c r="BW689" s="5">
        <v>3.3000000000000002E-2</v>
      </c>
      <c r="BX689" s="5">
        <v>3.5099999999999999E-2</v>
      </c>
      <c r="BY689" s="5">
        <v>3.6400000000000002E-2</v>
      </c>
      <c r="BZ689" s="5">
        <v>3.73E-2</v>
      </c>
      <c r="CA689" s="5">
        <v>3.8100000000000002E-2</v>
      </c>
      <c r="CB689" s="5">
        <v>3.9E-2</v>
      </c>
      <c r="CH689" s="44"/>
    </row>
    <row r="690" spans="1:86" x14ac:dyDescent="0.2">
      <c r="A690" s="3" t="s">
        <v>23</v>
      </c>
      <c r="B690" s="39">
        <v>718</v>
      </c>
      <c r="C690" s="82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R690" s="1"/>
      <c r="S690" s="1"/>
      <c r="T690" s="1"/>
      <c r="U690" s="1"/>
      <c r="V690" s="1"/>
      <c r="W690" s="5"/>
      <c r="X690" s="1"/>
      <c r="Y690" s="1"/>
      <c r="Z690" s="1"/>
      <c r="AM690" s="5"/>
      <c r="AO690" s="5"/>
      <c r="AQ690" s="5"/>
      <c r="AU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>
        <v>3.3999999999999998E-3</v>
      </c>
      <c r="BM690" s="5"/>
      <c r="BN690" s="5"/>
      <c r="BO690" s="5"/>
      <c r="BP690" s="5"/>
      <c r="BQ690" s="5"/>
      <c r="BR690" s="5"/>
      <c r="BS690" s="5"/>
      <c r="BT690" s="5">
        <v>3.5999999999999999E-3</v>
      </c>
      <c r="BU690" s="5"/>
      <c r="BV690" s="5"/>
      <c r="BW690" s="5"/>
      <c r="BX690" s="5"/>
      <c r="BY690" s="5"/>
      <c r="BZ690" s="5"/>
      <c r="CA690" s="5"/>
      <c r="CB690" s="5">
        <v>6.7000000000000002E-3</v>
      </c>
      <c r="CH690" s="44"/>
    </row>
    <row r="691" spans="1:86" x14ac:dyDescent="0.2">
      <c r="A691" s="3" t="s">
        <v>23</v>
      </c>
      <c r="B691" s="39">
        <v>769</v>
      </c>
      <c r="C691" s="82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R691" s="1"/>
      <c r="S691" s="1"/>
      <c r="T691" s="1"/>
      <c r="U691" s="1"/>
      <c r="V691" s="1"/>
      <c r="W691" s="5"/>
      <c r="X691" s="1"/>
      <c r="Y691" s="1"/>
      <c r="Z691" s="1"/>
      <c r="AM691" s="5"/>
      <c r="AO691" s="5"/>
      <c r="AQ691" s="5"/>
      <c r="AU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>
        <v>3.6999999999999998E-2</v>
      </c>
      <c r="BT691" s="5"/>
      <c r="BU691" s="5"/>
      <c r="BV691" s="5"/>
      <c r="BW691" s="5"/>
      <c r="BX691" s="5"/>
      <c r="BY691" s="5"/>
      <c r="BZ691" s="5"/>
      <c r="CA691" s="5"/>
      <c r="CB691" s="5">
        <v>6.6000000000000003E-2</v>
      </c>
      <c r="CH691" s="44"/>
    </row>
    <row r="692" spans="1:86" x14ac:dyDescent="0.2">
      <c r="A692" s="3" t="s">
        <v>23</v>
      </c>
      <c r="B692" s="39">
        <v>721</v>
      </c>
      <c r="C692" s="82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R692" s="1"/>
      <c r="S692" s="1"/>
      <c r="T692" s="1"/>
      <c r="U692" s="1"/>
      <c r="V692" s="1"/>
      <c r="W692" s="5"/>
      <c r="X692" s="1"/>
      <c r="Y692" s="1"/>
      <c r="Z692" s="1"/>
      <c r="AM692" s="5"/>
      <c r="AO692" s="5"/>
      <c r="AQ692" s="5"/>
      <c r="AU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>
        <v>3.5000000000000003E-2</v>
      </c>
      <c r="BN692" s="5">
        <v>4.2000000000000003E-2</v>
      </c>
      <c r="BO692" s="5">
        <v>4.8000000000000001E-2</v>
      </c>
      <c r="BP692" s="5">
        <v>5.5E-2</v>
      </c>
      <c r="BQ692" s="5">
        <v>5.8000000000000003E-2</v>
      </c>
      <c r="BR692" s="5">
        <v>6.5000000000000002E-2</v>
      </c>
      <c r="BS692" s="5">
        <v>7.1999999999999995E-2</v>
      </c>
      <c r="BT692" s="5">
        <v>7.9000000000000001E-2</v>
      </c>
      <c r="BU692" s="5">
        <v>7.8E-2</v>
      </c>
      <c r="BV692" s="5">
        <v>8.7999999999999995E-2</v>
      </c>
      <c r="BW692" s="5">
        <v>9.7000000000000003E-2</v>
      </c>
      <c r="BX692" s="5">
        <v>0.105</v>
      </c>
      <c r="BY692" s="5">
        <v>0.114</v>
      </c>
      <c r="BZ692" s="5">
        <v>0.12</v>
      </c>
      <c r="CA692" s="5">
        <v>0.12</v>
      </c>
      <c r="CB692" s="5">
        <v>0.112</v>
      </c>
      <c r="CC692" s="5">
        <v>0.114</v>
      </c>
      <c r="CD692" s="5">
        <v>0.123</v>
      </c>
      <c r="CE692" s="5">
        <v>0.129</v>
      </c>
      <c r="CH692" s="44"/>
    </row>
    <row r="693" spans="1:86" x14ac:dyDescent="0.2">
      <c r="A693" s="3" t="s">
        <v>23</v>
      </c>
      <c r="B693" s="39">
        <v>723</v>
      </c>
      <c r="C693" s="82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R693" s="1"/>
      <c r="S693" s="1"/>
      <c r="T693" s="1"/>
      <c r="U693" s="1"/>
      <c r="V693" s="1"/>
      <c r="W693" s="5"/>
      <c r="X693" s="1"/>
      <c r="Y693" s="1"/>
      <c r="Z693" s="1"/>
      <c r="AM693" s="5"/>
      <c r="AO693" s="5"/>
      <c r="AQ693" s="5"/>
      <c r="AU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26">
        <f>3.4/100000</f>
        <v>3.4E-5</v>
      </c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26">
        <f>10.8/100000</f>
        <v>1.0800000000000001E-4</v>
      </c>
      <c r="CH693" s="44"/>
    </row>
    <row r="694" spans="1:86" x14ac:dyDescent="0.2">
      <c r="A694" s="3" t="s">
        <v>23</v>
      </c>
      <c r="B694" s="39">
        <v>770</v>
      </c>
      <c r="C694" s="82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R694" s="1"/>
      <c r="S694" s="1"/>
      <c r="T694" s="1"/>
      <c r="U694" s="1"/>
      <c r="V694" s="1"/>
      <c r="W694" s="5"/>
      <c r="X694" s="1"/>
      <c r="Y694" s="1"/>
      <c r="Z694" s="1"/>
      <c r="AM694" s="5"/>
      <c r="AO694" s="5"/>
      <c r="AQ694" s="5"/>
      <c r="AU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26"/>
      <c r="BN694" s="5"/>
      <c r="BO694" s="5"/>
      <c r="BP694" s="5"/>
      <c r="BR694" s="5"/>
      <c r="BS694" s="5"/>
      <c r="BT694" s="5"/>
      <c r="BU694" s="5">
        <v>5.2999999999999999E-2</v>
      </c>
      <c r="BV694" s="5"/>
      <c r="BW694" s="5"/>
      <c r="BX694" s="5"/>
      <c r="BY694" s="5"/>
      <c r="BZ694" s="5"/>
      <c r="CA694" s="5"/>
      <c r="CB694" s="5"/>
      <c r="CC694" s="5"/>
      <c r="CD694" s="5"/>
      <c r="CE694" s="26"/>
      <c r="CF694" s="5">
        <v>0.13700000000000001</v>
      </c>
      <c r="CH694" s="44"/>
    </row>
    <row r="695" spans="1:86" x14ac:dyDescent="0.2">
      <c r="A695" s="3" t="s">
        <v>23</v>
      </c>
      <c r="B695" s="39">
        <v>771</v>
      </c>
      <c r="C695" s="82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R695" s="1"/>
      <c r="S695" s="1"/>
      <c r="T695" s="1"/>
      <c r="U695" s="1"/>
      <c r="V695" s="1"/>
      <c r="W695" s="5"/>
      <c r="X695" s="1"/>
      <c r="Y695" s="1"/>
      <c r="Z695" s="1"/>
      <c r="AM695" s="5"/>
      <c r="AO695" s="5"/>
      <c r="AQ695" s="5"/>
      <c r="AU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26"/>
      <c r="BN695" s="5">
        <v>0.13600000000000001</v>
      </c>
      <c r="BO695" s="5"/>
      <c r="BP695" s="5"/>
      <c r="BR695" s="5"/>
      <c r="BS695" s="5"/>
      <c r="BT695" s="5">
        <v>0.17499999999999999</v>
      </c>
      <c r="BU695" s="5"/>
      <c r="BV695" s="5"/>
      <c r="BW695" s="5"/>
      <c r="BX695" s="5"/>
      <c r="BY695" s="5"/>
      <c r="BZ695" s="5"/>
      <c r="CA695" s="5"/>
      <c r="CB695" s="5">
        <v>0.27900000000000003</v>
      </c>
      <c r="CC695" s="5"/>
      <c r="CD695" s="5"/>
      <c r="CE695" s="26"/>
      <c r="CF695" s="5"/>
      <c r="CH695" s="44"/>
    </row>
    <row r="696" spans="1:86" x14ac:dyDescent="0.2">
      <c r="A696" s="3" t="s">
        <v>23</v>
      </c>
      <c r="B696" s="39">
        <v>771</v>
      </c>
      <c r="C696" s="82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R696" s="1"/>
      <c r="S696" s="1"/>
      <c r="T696" s="1"/>
      <c r="U696" s="1"/>
      <c r="V696" s="1"/>
      <c r="W696" s="5"/>
      <c r="X696" s="1"/>
      <c r="Y696" s="1"/>
      <c r="Z696" s="1"/>
      <c r="AM696" s="5"/>
      <c r="AO696" s="5"/>
      <c r="AQ696" s="5"/>
      <c r="AU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26"/>
      <c r="BN696" s="5">
        <v>0.10299999999999999</v>
      </c>
      <c r="BO696" s="5"/>
      <c r="BP696" s="5"/>
      <c r="BR696" s="5"/>
      <c r="BS696" s="5"/>
      <c r="BT696" s="5">
        <v>0.14099999999999999</v>
      </c>
      <c r="BU696" s="5"/>
      <c r="BV696" s="5"/>
      <c r="BW696" s="5"/>
      <c r="BX696" s="5"/>
      <c r="BY696" s="5"/>
      <c r="BZ696" s="5"/>
      <c r="CA696" s="5"/>
      <c r="CB696" s="5">
        <v>0.218</v>
      </c>
      <c r="CC696" s="5"/>
      <c r="CD696" s="5"/>
      <c r="CE696" s="26"/>
      <c r="CF696" s="5"/>
      <c r="CH696" s="44"/>
    </row>
    <row r="697" spans="1:86" x14ac:dyDescent="0.2">
      <c r="A697" s="3" t="s">
        <v>23</v>
      </c>
      <c r="B697" s="39">
        <v>772</v>
      </c>
      <c r="C697" s="82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R697" s="1"/>
      <c r="S697" s="1"/>
      <c r="T697" s="1"/>
      <c r="U697" s="1"/>
      <c r="V697" s="1"/>
      <c r="W697" s="5"/>
      <c r="X697" s="1"/>
      <c r="Y697" s="1"/>
      <c r="Z697" s="1"/>
      <c r="AM697" s="5"/>
      <c r="AO697" s="5"/>
      <c r="AQ697" s="5"/>
      <c r="AU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26"/>
      <c r="BN697" s="5"/>
      <c r="BO697" s="5"/>
      <c r="BP697" s="5"/>
      <c r="BR697" s="5"/>
      <c r="BS697" s="5"/>
      <c r="BT697" s="5"/>
      <c r="BU697" s="5"/>
      <c r="BV697" s="5">
        <v>7.9000000000000001E-2</v>
      </c>
      <c r="BW697" s="5"/>
      <c r="BX697" s="5"/>
      <c r="BY697" s="5">
        <v>9.1999999999999998E-2</v>
      </c>
      <c r="BZ697" s="5"/>
      <c r="CA697" s="5"/>
      <c r="CB697" s="5">
        <v>0.105</v>
      </c>
      <c r="CC697" s="5"/>
      <c r="CD697" s="5">
        <v>0.113</v>
      </c>
      <c r="CE697" s="5">
        <v>0.11600000000000001</v>
      </c>
      <c r="CF697" s="5">
        <v>0.124</v>
      </c>
      <c r="CH697" s="44"/>
    </row>
    <row r="698" spans="1:86" s="46" customFormat="1" x14ac:dyDescent="0.2">
      <c r="A698" s="38" t="s">
        <v>23</v>
      </c>
      <c r="B698" s="40">
        <v>645</v>
      </c>
      <c r="C698" s="83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R698" s="53"/>
      <c r="S698" s="53"/>
      <c r="T698" s="53"/>
      <c r="U698" s="53"/>
      <c r="V698" s="53"/>
      <c r="W698" s="53"/>
      <c r="X698" s="53"/>
      <c r="Y698" s="53"/>
      <c r="Z698" s="53"/>
      <c r="AM698" s="48"/>
      <c r="AO698" s="48"/>
      <c r="AQ698" s="48">
        <v>5.0999999999999997E-2</v>
      </c>
      <c r="AU698" s="48"/>
      <c r="AY698" s="48"/>
      <c r="AZ698" s="48"/>
      <c r="BA698" s="48"/>
      <c r="BB698" s="48"/>
      <c r="BC698" s="48"/>
      <c r="BD698" s="48"/>
      <c r="BE698" s="48">
        <v>7.0199999999999999E-2</v>
      </c>
      <c r="BF698" s="48"/>
      <c r="BG698" s="48"/>
      <c r="BH698" s="48"/>
      <c r="BI698" s="48"/>
      <c r="BJ698" s="48"/>
      <c r="BK698" s="48"/>
      <c r="BL698" s="48"/>
      <c r="BM698" s="69"/>
      <c r="BN698" s="48"/>
      <c r="BO698" s="48">
        <v>8.7999999999999995E-2</v>
      </c>
      <c r="BP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8"/>
      <c r="CE698" s="48"/>
      <c r="CF698" s="48"/>
      <c r="CH698" s="51"/>
    </row>
    <row r="699" spans="1:86" x14ac:dyDescent="0.2">
      <c r="A699" s="3" t="s">
        <v>24</v>
      </c>
      <c r="B699" s="39">
        <v>773</v>
      </c>
      <c r="C699" s="82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AM699" s="16">
        <v>1.4E-2</v>
      </c>
      <c r="AQ699" s="16"/>
      <c r="AU699" s="16"/>
      <c r="AY699" s="16"/>
      <c r="BC699" s="5"/>
      <c r="BG699" s="16">
        <v>9.1999999999999998E-2</v>
      </c>
      <c r="BL699" s="5"/>
      <c r="BP699"/>
      <c r="BR699"/>
      <c r="BS699"/>
      <c r="CH699" s="44"/>
    </row>
    <row r="700" spans="1:86" x14ac:dyDescent="0.2">
      <c r="A700" s="3" t="s">
        <v>24</v>
      </c>
      <c r="B700" s="39">
        <v>774</v>
      </c>
      <c r="C700" s="82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AM700" s="16"/>
      <c r="AQ700" s="16"/>
      <c r="AU700" s="16"/>
      <c r="AY700" s="16"/>
      <c r="BA700" s="16">
        <v>1.0999999999999999E-2</v>
      </c>
      <c r="BB700" s="16">
        <v>1.4E-2</v>
      </c>
      <c r="BC700" s="16">
        <v>1.4999999999999999E-2</v>
      </c>
      <c r="BD700" s="16">
        <v>3.5000000000000003E-2</v>
      </c>
      <c r="BE700" s="16">
        <v>0.03</v>
      </c>
      <c r="BF700" s="16">
        <v>2.8000000000000001E-2</v>
      </c>
      <c r="BG700" s="16">
        <v>0.03</v>
      </c>
      <c r="BH700" s="16">
        <v>3.3000000000000002E-2</v>
      </c>
      <c r="BI700" s="16">
        <v>3.2000000000000001E-2</v>
      </c>
      <c r="BL700" s="5"/>
      <c r="BP700"/>
      <c r="BR700"/>
      <c r="BS700"/>
      <c r="CH700" s="44"/>
    </row>
    <row r="701" spans="1:86" x14ac:dyDescent="0.2">
      <c r="A701" s="3" t="s">
        <v>24</v>
      </c>
      <c r="B701" s="39">
        <v>775</v>
      </c>
      <c r="C701" s="82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AM701" s="16"/>
      <c r="AQ701" s="16"/>
      <c r="AU701" s="16"/>
      <c r="AY701" s="16"/>
      <c r="BA701" s="16"/>
      <c r="BB701" s="16"/>
      <c r="BC701" s="16"/>
      <c r="BD701" s="16"/>
      <c r="BE701" s="16"/>
      <c r="BF701" s="16"/>
      <c r="BG701" s="16"/>
      <c r="BH701" s="16"/>
      <c r="BI701" s="16"/>
      <c r="BL701" s="5"/>
      <c r="BN701" s="16">
        <v>7.8E-2</v>
      </c>
      <c r="BP701"/>
      <c r="BR701" s="16">
        <v>9.5000000000000001E-2</v>
      </c>
      <c r="BS701"/>
      <c r="CH701" s="44"/>
    </row>
    <row r="702" spans="1:86" x14ac:dyDescent="0.2">
      <c r="A702" s="3" t="s">
        <v>24</v>
      </c>
      <c r="B702" s="39">
        <v>776</v>
      </c>
      <c r="C702" s="82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AM702" s="16"/>
      <c r="AQ702" s="16"/>
      <c r="AU702" s="16"/>
      <c r="AY702" s="16"/>
      <c r="BA702" s="16"/>
      <c r="BB702" s="16"/>
      <c r="BC702" s="16"/>
      <c r="BD702" s="16"/>
      <c r="BE702" s="16"/>
      <c r="BF702" s="16"/>
      <c r="BG702" s="16"/>
      <c r="BH702" s="16"/>
      <c r="BI702" s="16"/>
      <c r="BK702" s="16">
        <v>6.9000000000000006E-2</v>
      </c>
      <c r="BL702" s="5"/>
      <c r="BN702" s="16"/>
      <c r="BP702"/>
      <c r="BR702" s="16"/>
      <c r="BS702"/>
      <c r="BT702" s="16">
        <v>0.09</v>
      </c>
      <c r="CH702" s="44"/>
    </row>
    <row r="703" spans="1:86" x14ac:dyDescent="0.2">
      <c r="A703" s="3" t="s">
        <v>24</v>
      </c>
      <c r="B703" s="39">
        <v>777</v>
      </c>
      <c r="C703" s="82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AM703" s="16"/>
      <c r="AQ703" s="16"/>
      <c r="AU703" s="16"/>
      <c r="AY703" s="16"/>
      <c r="BA703" s="16"/>
      <c r="BB703" s="16"/>
      <c r="BC703" s="16"/>
      <c r="BD703" s="16"/>
      <c r="BE703" s="16"/>
      <c r="BF703" s="16"/>
      <c r="BG703" s="16"/>
      <c r="BH703" s="16"/>
      <c r="BI703" s="16"/>
      <c r="BK703" s="16"/>
      <c r="BL703" s="5"/>
      <c r="BM703" s="16">
        <v>1.24E-2</v>
      </c>
      <c r="BN703" s="16">
        <v>1.8100000000000002E-2</v>
      </c>
      <c r="BO703" s="16">
        <v>2.52E-2</v>
      </c>
      <c r="BP703" s="16">
        <v>3.2099999999999997E-2</v>
      </c>
      <c r="BQ703" s="16">
        <v>3.9E-2</v>
      </c>
      <c r="BR703" s="16">
        <v>4.02E-2</v>
      </c>
      <c r="BS703"/>
      <c r="BT703" s="16"/>
      <c r="CH703" s="44"/>
    </row>
    <row r="704" spans="1:86" x14ac:dyDescent="0.2">
      <c r="A704" s="3" t="s">
        <v>24</v>
      </c>
      <c r="B704" s="39">
        <v>778</v>
      </c>
      <c r="C704" s="82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AM704" s="16"/>
      <c r="AQ704" s="16"/>
      <c r="AU704" s="16"/>
      <c r="AY704" s="16"/>
      <c r="BA704" s="16"/>
      <c r="BB704" s="16"/>
      <c r="BC704" s="16"/>
      <c r="BD704" s="16"/>
      <c r="BE704" s="16"/>
      <c r="BF704" s="16"/>
      <c r="BG704" s="16"/>
      <c r="BH704" s="16"/>
      <c r="BI704" s="16"/>
      <c r="BK704" s="16"/>
      <c r="BL704" s="16">
        <v>1.7000000000000001E-2</v>
      </c>
      <c r="BM704" s="16"/>
      <c r="BN704" s="16"/>
      <c r="BO704" s="16"/>
      <c r="BP704" s="16"/>
      <c r="BQ704" s="16"/>
      <c r="BR704" s="16">
        <v>2.5999999999999999E-2</v>
      </c>
      <c r="BS704"/>
      <c r="BT704" s="16"/>
      <c r="CH704" s="44"/>
    </row>
    <row r="705" spans="1:86" x14ac:dyDescent="0.2">
      <c r="A705" s="3" t="s">
        <v>24</v>
      </c>
      <c r="B705" s="39">
        <v>779</v>
      </c>
      <c r="C705" s="82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AM705" s="16"/>
      <c r="AQ705" s="16"/>
      <c r="AU705" s="16"/>
      <c r="AY705" s="16"/>
      <c r="BA705" s="16"/>
      <c r="BB705" s="16"/>
      <c r="BC705" s="16"/>
      <c r="BD705" s="16"/>
      <c r="BE705" s="16"/>
      <c r="BF705" s="16"/>
      <c r="BG705" s="16"/>
      <c r="BH705" s="16"/>
      <c r="BI705" s="16">
        <f>30.5/100000</f>
        <v>3.0499999999999999E-4</v>
      </c>
      <c r="BK705" s="16"/>
      <c r="BL705" s="16"/>
      <c r="BM705" s="16"/>
      <c r="BN705" s="16"/>
      <c r="BO705" s="16"/>
      <c r="BP705" s="16"/>
      <c r="BQ705" s="16"/>
      <c r="BR705" s="16">
        <f>88.9/100000</f>
        <v>8.8900000000000003E-4</v>
      </c>
      <c r="BS705"/>
      <c r="BT705" s="16">
        <f>81.5/100000</f>
        <v>8.1499999999999997E-4</v>
      </c>
      <c r="CH705" s="44"/>
    </row>
    <row r="706" spans="1:86" x14ac:dyDescent="0.2">
      <c r="A706" s="3" t="s">
        <v>24</v>
      </c>
      <c r="B706" s="39">
        <v>780</v>
      </c>
      <c r="C706" s="82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AM706" s="16"/>
      <c r="AQ706" s="16"/>
      <c r="AU706" s="16"/>
      <c r="AY706" s="16"/>
      <c r="BA706" s="16"/>
      <c r="BB706" s="16"/>
      <c r="BC706" s="16"/>
      <c r="BD706" s="16"/>
      <c r="BE706" s="16"/>
      <c r="BF706" s="16"/>
      <c r="BG706" s="16"/>
      <c r="BH706" s="16"/>
      <c r="BI706" s="16"/>
      <c r="BK706" s="16"/>
      <c r="BL706" s="16"/>
      <c r="BM706" s="16"/>
      <c r="BN706" s="16"/>
      <c r="BO706" s="16"/>
      <c r="BP706" s="16"/>
      <c r="BQ706" s="16"/>
      <c r="BR706" s="16"/>
      <c r="BS706" s="16">
        <v>0.13800000000000001</v>
      </c>
      <c r="BT706" s="16">
        <v>0.12529999999999999</v>
      </c>
      <c r="BU706" s="16">
        <v>0.1222</v>
      </c>
      <c r="BV706" s="16">
        <v>0.12909999999999999</v>
      </c>
      <c r="CH706" s="44"/>
    </row>
    <row r="707" spans="1:86" x14ac:dyDescent="0.2">
      <c r="A707" s="3" t="s">
        <v>24</v>
      </c>
      <c r="B707" s="39">
        <v>781</v>
      </c>
      <c r="C707" s="82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AM707" s="16"/>
      <c r="AQ707" s="16"/>
      <c r="AU707" s="16"/>
      <c r="AY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>
        <f>57.67/100000</f>
        <v>5.7669999999999998E-4</v>
      </c>
      <c r="BK707" s="16">
        <f>64.65/100000</f>
        <v>6.4650000000000005E-4</v>
      </c>
      <c r="BL707" s="16">
        <f>75.08/100000</f>
        <v>7.5080000000000004E-4</v>
      </c>
      <c r="BM707" s="16">
        <f>91.19/100000</f>
        <v>9.1189999999999999E-4</v>
      </c>
      <c r="BN707" s="16">
        <f>95.08/100000</f>
        <v>9.5080000000000002E-4</v>
      </c>
      <c r="BO707" s="16">
        <f>120.75/100000</f>
        <v>1.2075E-3</v>
      </c>
      <c r="BP707" s="16">
        <f>145/100000</f>
        <v>1.4499999999999999E-3</v>
      </c>
      <c r="BQ707" s="16"/>
      <c r="BR707" s="16"/>
      <c r="BS707" s="16"/>
      <c r="BT707" s="16"/>
      <c r="BU707" s="16"/>
      <c r="BV707" s="16"/>
      <c r="CH707" s="44"/>
    </row>
    <row r="708" spans="1:86" x14ac:dyDescent="0.2">
      <c r="A708" s="3" t="s">
        <v>24</v>
      </c>
      <c r="B708" s="39">
        <v>782</v>
      </c>
      <c r="C708" s="82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AM708" s="16"/>
      <c r="AQ708" s="16"/>
      <c r="AU708" s="16"/>
      <c r="AY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>
        <v>7.8E-2</v>
      </c>
      <c r="BO708" s="16"/>
      <c r="BP708" s="16"/>
      <c r="BQ708" s="16"/>
      <c r="BR708" s="16">
        <v>9.5000000000000001E-2</v>
      </c>
      <c r="BS708" s="16"/>
      <c r="BT708" s="16"/>
      <c r="BU708" s="16"/>
      <c r="BV708" s="16">
        <v>0.11</v>
      </c>
      <c r="CH708" s="44"/>
    </row>
    <row r="709" spans="1:86" x14ac:dyDescent="0.2">
      <c r="A709" s="3" t="s">
        <v>24</v>
      </c>
      <c r="B709" s="39">
        <v>783</v>
      </c>
      <c r="C709" s="82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AM709" s="16"/>
      <c r="AQ709" s="16"/>
      <c r="AU709" s="16"/>
      <c r="AY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>
        <v>0.03</v>
      </c>
      <c r="BM709" s="16">
        <v>3.2000000000000001E-2</v>
      </c>
      <c r="BN709" s="16">
        <v>3.5000000000000003E-2</v>
      </c>
      <c r="BO709" s="16">
        <v>3.9E-2</v>
      </c>
      <c r="BP709" s="16">
        <v>4.2000000000000003E-2</v>
      </c>
      <c r="BQ709" s="16">
        <v>4.2999999999999997E-2</v>
      </c>
      <c r="BR709" s="16">
        <v>4.7E-2</v>
      </c>
      <c r="BS709" s="16">
        <v>5.0999999999999997E-2</v>
      </c>
      <c r="BT709" s="16">
        <v>5.3999999999999999E-2</v>
      </c>
      <c r="BU709" s="16">
        <v>5.5E-2</v>
      </c>
      <c r="BV709" s="16"/>
      <c r="CH709" s="44"/>
    </row>
    <row r="710" spans="1:86" x14ac:dyDescent="0.2">
      <c r="A710" s="3" t="s">
        <v>24</v>
      </c>
      <c r="B710" s="39">
        <v>784</v>
      </c>
      <c r="C710" s="82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AM710" s="16"/>
      <c r="AQ710" s="16"/>
      <c r="AU710" s="16"/>
      <c r="AY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>
        <v>9.9000000000000005E-2</v>
      </c>
      <c r="BQ710" s="16">
        <v>0.111</v>
      </c>
      <c r="BR710" s="16">
        <v>0.12</v>
      </c>
      <c r="BS710" s="16">
        <v>0.13</v>
      </c>
      <c r="BT710" s="16">
        <v>0.14099999999999999</v>
      </c>
      <c r="BU710" s="16">
        <v>0.153</v>
      </c>
      <c r="BV710" s="16">
        <v>0.16500000000000001</v>
      </c>
      <c r="BW710" s="16">
        <v>0.17299999999999999</v>
      </c>
      <c r="BX710" s="16">
        <v>0.18</v>
      </c>
      <c r="BY710" s="16">
        <v>0.183</v>
      </c>
      <c r="CH710" s="44"/>
    </row>
    <row r="711" spans="1:86" x14ac:dyDescent="0.2">
      <c r="A711" s="3" t="s">
        <v>24</v>
      </c>
      <c r="B711" s="39">
        <v>784</v>
      </c>
      <c r="C711" s="82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AM711" s="16"/>
      <c r="AQ711" s="16"/>
      <c r="AU711" s="16"/>
      <c r="AY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>
        <v>3.5000000000000003E-2</v>
      </c>
      <c r="BQ711" s="16">
        <v>4.2000000000000003E-2</v>
      </c>
      <c r="BR711" s="16">
        <v>4.8000000000000001E-2</v>
      </c>
      <c r="BS711" s="16">
        <v>5.6000000000000001E-2</v>
      </c>
      <c r="BT711" s="16">
        <v>6.3E-2</v>
      </c>
      <c r="BU711" s="16">
        <v>7.2999999999999995E-2</v>
      </c>
      <c r="BV711" s="16">
        <v>8.3000000000000004E-2</v>
      </c>
      <c r="BW711" s="16">
        <v>9.0999999999999998E-2</v>
      </c>
      <c r="BX711" s="16">
        <v>9.9000000000000005E-2</v>
      </c>
      <c r="BY711" s="16">
        <v>0.104</v>
      </c>
      <c r="CH711" s="44"/>
    </row>
    <row r="712" spans="1:86" x14ac:dyDescent="0.2">
      <c r="A712" s="3" t="s">
        <v>24</v>
      </c>
      <c r="B712" s="39">
        <v>785</v>
      </c>
      <c r="C712" s="82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AM712" s="16"/>
      <c r="AQ712" s="16"/>
      <c r="AU712" s="16"/>
      <c r="AY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>
        <v>1.1000000000000001E-3</v>
      </c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>
        <v>1.24E-2</v>
      </c>
      <c r="BW712" s="16"/>
      <c r="BX712" s="16"/>
      <c r="BY712" s="16"/>
      <c r="CH712" s="44"/>
    </row>
    <row r="713" spans="1:86" x14ac:dyDescent="0.2">
      <c r="A713" s="3" t="s">
        <v>24</v>
      </c>
      <c r="B713" s="39">
        <v>786</v>
      </c>
      <c r="C713" s="82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AM713" s="16"/>
      <c r="AQ713" s="16"/>
      <c r="AU713" s="16"/>
      <c r="AY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>
        <v>0.05</v>
      </c>
      <c r="BU713" s="16"/>
      <c r="BV713" s="16"/>
      <c r="BW713" s="16"/>
      <c r="BX713" s="16"/>
      <c r="BY713" s="16">
        <v>6.0999999999999999E-2</v>
      </c>
      <c r="CH713" s="44"/>
    </row>
    <row r="714" spans="1:86" x14ac:dyDescent="0.2">
      <c r="A714" s="3" t="s">
        <v>24</v>
      </c>
      <c r="B714" s="39">
        <v>787</v>
      </c>
      <c r="C714" s="82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AM714" s="16"/>
      <c r="AQ714" s="16"/>
      <c r="AU714" s="16"/>
      <c r="AY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>
        <f>24.1/1000</f>
        <v>2.41E-2</v>
      </c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>
        <f>41/1000</f>
        <v>4.1000000000000002E-2</v>
      </c>
      <c r="BX714" s="16"/>
      <c r="BY714" s="16"/>
      <c r="CH714" s="44"/>
    </row>
    <row r="715" spans="1:86" x14ac:dyDescent="0.2">
      <c r="A715" s="3" t="s">
        <v>24</v>
      </c>
      <c r="B715" s="39">
        <v>787</v>
      </c>
      <c r="C715" s="82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AM715" s="16"/>
      <c r="AQ715" s="16"/>
      <c r="AU715" s="16"/>
      <c r="AY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>
        <f>6.3/1000</f>
        <v>6.3E-3</v>
      </c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>
        <f>13.2/1000</f>
        <v>1.32E-2</v>
      </c>
      <c r="BX715" s="16"/>
      <c r="BY715" s="16"/>
      <c r="CH715" s="44"/>
    </row>
    <row r="716" spans="1:86" x14ac:dyDescent="0.2">
      <c r="A716" s="3" t="s">
        <v>24</v>
      </c>
      <c r="B716" s="39">
        <v>787</v>
      </c>
      <c r="C716" s="82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AM716" s="16"/>
      <c r="AQ716" s="16"/>
      <c r="AU716" s="16"/>
      <c r="AY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>
        <f>34.6/1000</f>
        <v>3.4599999999999999E-2</v>
      </c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>
        <f>55/1000</f>
        <v>5.5E-2</v>
      </c>
      <c r="BX716" s="16"/>
      <c r="BY716" s="16"/>
      <c r="CH716" s="44"/>
    </row>
    <row r="717" spans="1:86" x14ac:dyDescent="0.2">
      <c r="A717" s="3" t="s">
        <v>24</v>
      </c>
      <c r="B717" s="39">
        <v>787</v>
      </c>
      <c r="C717" s="82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AM717" s="16"/>
      <c r="AQ717" s="16"/>
      <c r="AU717" s="16"/>
      <c r="AY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>
        <f>8.8/1000</f>
        <v>8.8000000000000005E-3</v>
      </c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>
        <f>19.4/1000</f>
        <v>1.9399999999999997E-2</v>
      </c>
      <c r="BX717" s="16"/>
      <c r="BY717" s="16"/>
      <c r="CH717" s="44"/>
    </row>
    <row r="718" spans="1:86" x14ac:dyDescent="0.2">
      <c r="A718" s="3" t="s">
        <v>24</v>
      </c>
      <c r="B718" s="39">
        <v>787</v>
      </c>
      <c r="C718" s="82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AM718" s="16"/>
      <c r="AQ718" s="16"/>
      <c r="AU718" s="16"/>
      <c r="AY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>
        <f>16.4/1000</f>
        <v>1.6399999999999998E-2</v>
      </c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>
        <f>16/1000</f>
        <v>1.6E-2</v>
      </c>
      <c r="BX718" s="16"/>
      <c r="BY718" s="16"/>
      <c r="CH718" s="44"/>
    </row>
    <row r="719" spans="1:86" x14ac:dyDescent="0.2">
      <c r="A719" s="3" t="s">
        <v>24</v>
      </c>
      <c r="B719" s="39">
        <v>787</v>
      </c>
      <c r="C719" s="82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AM719" s="16"/>
      <c r="AQ719" s="16"/>
      <c r="AU719" s="16"/>
      <c r="AY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>
        <f>4.4/1000</f>
        <v>4.4000000000000003E-3</v>
      </c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>
        <f>5.8/1000</f>
        <v>5.7999999999999996E-3</v>
      </c>
      <c r="BX719" s="16"/>
      <c r="BY719" s="16"/>
      <c r="CH719" s="44"/>
    </row>
    <row r="720" spans="1:86" x14ac:dyDescent="0.2">
      <c r="A720" s="3" t="s">
        <v>24</v>
      </c>
      <c r="B720" s="39">
        <v>787</v>
      </c>
      <c r="C720" s="82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AM720" s="16"/>
      <c r="AQ720" s="16"/>
      <c r="AU720" s="16"/>
      <c r="AY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>
        <f>16.9/1000</f>
        <v>1.6899999999999998E-2</v>
      </c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>
        <f>52.4/1000</f>
        <v>5.2399999999999995E-2</v>
      </c>
      <c r="BX720" s="16"/>
      <c r="BY720" s="16"/>
      <c r="CH720" s="44"/>
    </row>
    <row r="721" spans="1:86" x14ac:dyDescent="0.2">
      <c r="A721" s="3" t="s">
        <v>24</v>
      </c>
      <c r="B721" s="39">
        <v>787</v>
      </c>
      <c r="C721" s="82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AM721" s="16"/>
      <c r="AQ721" s="16"/>
      <c r="AU721" s="16"/>
      <c r="AY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>
        <f>4.6/1000</f>
        <v>4.5999999999999999E-3</v>
      </c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>
        <f>22.2/1000</f>
        <v>2.2200000000000001E-2</v>
      </c>
      <c r="BX721" s="16"/>
      <c r="BY721" s="16"/>
      <c r="CH721" s="44"/>
    </row>
    <row r="722" spans="1:86" x14ac:dyDescent="0.2">
      <c r="A722" s="3" t="s">
        <v>24</v>
      </c>
      <c r="B722" s="39">
        <v>788</v>
      </c>
      <c r="C722" s="82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AM722" s="16"/>
      <c r="AQ722" s="16"/>
      <c r="AU722" s="16"/>
      <c r="AY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M722" s="16"/>
      <c r="BN722" s="16"/>
      <c r="BO722" s="16"/>
      <c r="BP722" s="16"/>
      <c r="BQ722" s="16">
        <v>2.4199999999999999E-2</v>
      </c>
      <c r="BR722" s="16">
        <v>3.6499999999999998E-2</v>
      </c>
      <c r="BS722" s="16">
        <v>5.3999999999999999E-2</v>
      </c>
      <c r="BT722" s="16">
        <v>7.3300000000000004E-2</v>
      </c>
      <c r="BU722" s="16">
        <v>0.10199999999999999</v>
      </c>
      <c r="BV722" s="16">
        <v>0.12670000000000001</v>
      </c>
      <c r="BW722" s="16"/>
      <c r="BX722" s="16"/>
      <c r="BY722" s="16"/>
      <c r="CH722" s="44"/>
    </row>
    <row r="723" spans="1:86" x14ac:dyDescent="0.2">
      <c r="A723" s="3" t="s">
        <v>24</v>
      </c>
      <c r="B723" s="39">
        <v>788</v>
      </c>
      <c r="C723" s="82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AM723" s="16"/>
      <c r="AQ723" s="16"/>
      <c r="AU723" s="16"/>
      <c r="AY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M723" s="16"/>
      <c r="BN723" s="16"/>
      <c r="BO723" s="16"/>
      <c r="BP723" s="16"/>
      <c r="BQ723" s="16">
        <v>5.8999999999999999E-3</v>
      </c>
      <c r="BR723" s="16">
        <v>9.9000000000000008E-3</v>
      </c>
      <c r="BS723" s="16">
        <v>1.61E-2</v>
      </c>
      <c r="BT723" s="16">
        <v>2.2200000000000001E-2</v>
      </c>
      <c r="BU723" s="16">
        <v>3.0099999999999998E-2</v>
      </c>
      <c r="BV723" s="16">
        <v>3.8100000000000002E-2</v>
      </c>
      <c r="BW723" s="16"/>
      <c r="BX723" s="16"/>
      <c r="BY723" s="16"/>
      <c r="CH723" s="44"/>
    </row>
    <row r="724" spans="1:86" x14ac:dyDescent="0.2">
      <c r="A724" s="3" t="s">
        <v>24</v>
      </c>
      <c r="B724" s="39">
        <v>789</v>
      </c>
      <c r="C724" s="82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AM724" s="16"/>
      <c r="AQ724" s="16"/>
      <c r="AU724" s="16"/>
      <c r="AY724" s="16"/>
      <c r="BA724" s="16"/>
      <c r="BB724" s="16"/>
      <c r="BC724" s="16"/>
      <c r="BD724" s="16"/>
      <c r="BE724" s="16"/>
      <c r="BF724" s="16"/>
      <c r="BG724" s="16"/>
      <c r="BH724" s="16"/>
      <c r="BI724" s="16">
        <v>6.0999999999999999E-2</v>
      </c>
      <c r="BJ724" s="16"/>
      <c r="BK724" s="16">
        <v>6.5000000000000002E-2</v>
      </c>
      <c r="BM724" s="16">
        <v>7.1999999999999995E-2</v>
      </c>
      <c r="BN724" s="16"/>
      <c r="BO724" s="16">
        <v>7.2999999999999995E-2</v>
      </c>
      <c r="BP724" s="16"/>
      <c r="BQ724" s="16">
        <v>7.4999999999999997E-2</v>
      </c>
      <c r="BR724" s="16"/>
      <c r="BS724" s="16">
        <v>8.1000000000000003E-2</v>
      </c>
      <c r="BT724" s="16"/>
      <c r="BU724" s="16">
        <v>0.09</v>
      </c>
      <c r="BV724" s="16"/>
      <c r="BW724" s="16">
        <v>9.6000000000000002E-2</v>
      </c>
      <c r="BX724" s="16"/>
      <c r="BY724" s="16">
        <v>9.4E-2</v>
      </c>
      <c r="CA724" s="16">
        <v>0.10199999999999999</v>
      </c>
      <c r="CH724" s="44"/>
    </row>
    <row r="725" spans="1:86" x14ac:dyDescent="0.2">
      <c r="A725" s="3" t="s">
        <v>24</v>
      </c>
      <c r="B725" s="39">
        <v>790</v>
      </c>
      <c r="C725" s="82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AM725" s="16"/>
      <c r="AQ725" s="16"/>
      <c r="AU725" s="16"/>
      <c r="AY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M725" s="16"/>
      <c r="BN725" s="16"/>
      <c r="BO725" s="16">
        <v>2.3199999999999998E-2</v>
      </c>
      <c r="BP725" s="16">
        <v>1.6E-2</v>
      </c>
      <c r="BQ725" s="16">
        <v>0.02</v>
      </c>
      <c r="BR725" s="16">
        <v>2.1600000000000001E-2</v>
      </c>
      <c r="BS725" s="16">
        <v>2.1600000000000001E-2</v>
      </c>
      <c r="BT725" s="16">
        <v>1.4200000000000001E-2</v>
      </c>
      <c r="BU725" s="16">
        <v>1.8200000000000001E-2</v>
      </c>
      <c r="BV725" s="16">
        <v>2.3900000000000001E-2</v>
      </c>
      <c r="BW725" s="16">
        <v>2.2800000000000001E-2</v>
      </c>
      <c r="BX725" s="16">
        <v>2.3099999999999999E-2</v>
      </c>
      <c r="BY725" s="16">
        <v>3.1600000000000003E-2</v>
      </c>
      <c r="CA725" s="16"/>
      <c r="CH725" s="44"/>
    </row>
    <row r="726" spans="1:86" x14ac:dyDescent="0.2">
      <c r="A726" s="3" t="s">
        <v>24</v>
      </c>
      <c r="B726" s="39">
        <v>790</v>
      </c>
      <c r="C726" s="82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AM726" s="16"/>
      <c r="AQ726" s="16"/>
      <c r="AU726" s="16"/>
      <c r="AY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M726" s="16"/>
      <c r="BN726" s="16"/>
      <c r="BO726" s="16">
        <v>0.10829999999999999</v>
      </c>
      <c r="BP726" s="16">
        <v>9.2299999999999993E-2</v>
      </c>
      <c r="BQ726" s="16">
        <v>9.6199999999999994E-2</v>
      </c>
      <c r="BR726" s="16">
        <v>0.10879999999999999</v>
      </c>
      <c r="BS726" s="16">
        <v>0.1074</v>
      </c>
      <c r="BT726" s="16">
        <v>9.3700000000000006E-2</v>
      </c>
      <c r="BU726" s="16">
        <v>9.4500000000000001E-2</v>
      </c>
      <c r="BV726" s="16">
        <v>0.10639999999999999</v>
      </c>
      <c r="BW726" s="16">
        <v>0.10929999999999999</v>
      </c>
      <c r="BX726" s="16">
        <v>0.12809999999999999</v>
      </c>
      <c r="BY726" s="16">
        <v>0.14760000000000001</v>
      </c>
      <c r="CA726" s="16"/>
      <c r="CH726" s="44"/>
    </row>
    <row r="727" spans="1:86" x14ac:dyDescent="0.2">
      <c r="A727" s="3" t="s">
        <v>24</v>
      </c>
      <c r="B727" s="39">
        <v>791</v>
      </c>
      <c r="C727" s="82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AM727" s="16"/>
      <c r="AQ727" s="16"/>
      <c r="AU727" s="16"/>
      <c r="AY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>
        <f>2.2/1000</f>
        <v>2.2000000000000001E-3</v>
      </c>
      <c r="BK727" s="16"/>
      <c r="BM727" s="16"/>
      <c r="BN727" s="16"/>
      <c r="BO727" s="16"/>
      <c r="BP727" s="16"/>
      <c r="BQ727" s="16"/>
      <c r="BR727" s="16"/>
      <c r="BS727" s="16"/>
      <c r="BT727" s="16"/>
      <c r="BU727" s="16">
        <f>10.57/1000</f>
        <v>1.057E-2</v>
      </c>
      <c r="BV727" s="16"/>
      <c r="BW727" s="16"/>
      <c r="BX727" s="16"/>
      <c r="BY727" s="16"/>
      <c r="CA727" s="16"/>
      <c r="CH727" s="44"/>
    </row>
    <row r="728" spans="1:86" x14ac:dyDescent="0.2">
      <c r="A728" s="3" t="s">
        <v>24</v>
      </c>
      <c r="B728" s="39">
        <v>792</v>
      </c>
      <c r="C728" s="82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AM728" s="16"/>
      <c r="AQ728" s="16"/>
      <c r="AU728" s="16"/>
      <c r="AY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>
        <v>8.5000000000000006E-2</v>
      </c>
      <c r="BW728" s="16"/>
      <c r="BX728" s="16"/>
      <c r="BY728" s="16"/>
      <c r="CA728" s="16"/>
      <c r="CB728" s="16">
        <v>9.5000000000000001E-2</v>
      </c>
      <c r="CH728" s="44"/>
    </row>
    <row r="729" spans="1:86" x14ac:dyDescent="0.2">
      <c r="A729" s="3" t="s">
        <v>24</v>
      </c>
      <c r="B729" s="39">
        <v>793</v>
      </c>
      <c r="C729" s="82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AM729" s="16"/>
      <c r="AQ729" s="16"/>
      <c r="AU729" s="16"/>
      <c r="AY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M729" s="16"/>
      <c r="BN729" s="16"/>
      <c r="BO729" s="16"/>
      <c r="BP729" s="16"/>
      <c r="BQ729" s="16"/>
      <c r="BR729" s="16">
        <v>1.5E-3</v>
      </c>
      <c r="BS729"/>
      <c r="BV729" s="16">
        <v>2.5000000000000001E-3</v>
      </c>
      <c r="BY729" s="16"/>
      <c r="BZ729" s="16">
        <v>1.5E-3</v>
      </c>
      <c r="CD729" s="16"/>
      <c r="CH729" s="44"/>
    </row>
    <row r="730" spans="1:86" x14ac:dyDescent="0.2">
      <c r="A730" s="3" t="s">
        <v>24</v>
      </c>
      <c r="B730" s="39">
        <v>793</v>
      </c>
      <c r="C730" s="82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AM730" s="16"/>
      <c r="AQ730" s="16"/>
      <c r="AU730" s="16"/>
      <c r="AY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M730" s="16"/>
      <c r="BN730" s="16"/>
      <c r="BO730" s="16"/>
      <c r="BP730" s="16"/>
      <c r="BQ730" s="16"/>
      <c r="BR730" s="16">
        <v>2.06E-2</v>
      </c>
      <c r="BS730"/>
      <c r="BV730" s="16">
        <v>0.02</v>
      </c>
      <c r="BY730" s="16"/>
      <c r="BZ730" s="16">
        <v>1.8800000000000001E-2</v>
      </c>
      <c r="CD730" s="16"/>
      <c r="CH730" s="44"/>
    </row>
    <row r="731" spans="1:86" x14ac:dyDescent="0.2">
      <c r="A731" s="3" t="s">
        <v>24</v>
      </c>
      <c r="B731" s="39">
        <v>793</v>
      </c>
      <c r="C731" s="82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AM731" s="16"/>
      <c r="AQ731" s="16"/>
      <c r="AU731" s="16"/>
      <c r="AY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M731" s="16"/>
      <c r="BN731" s="16"/>
      <c r="BO731" s="16"/>
      <c r="BP731" s="16"/>
      <c r="BQ731" s="16"/>
      <c r="BR731" s="16">
        <v>3.0599999999999999E-2</v>
      </c>
      <c r="BS731"/>
      <c r="BV731" s="16">
        <v>4.8800000000000003E-2</v>
      </c>
      <c r="BY731" s="16"/>
      <c r="BZ731" s="16">
        <v>4.2299999999999997E-2</v>
      </c>
      <c r="CD731" s="16">
        <v>2.9399999999999999E-2</v>
      </c>
      <c r="CH731" s="44"/>
    </row>
    <row r="732" spans="1:86" x14ac:dyDescent="0.2">
      <c r="A732" s="3" t="s">
        <v>24</v>
      </c>
      <c r="B732" s="39">
        <v>793</v>
      </c>
      <c r="C732" s="82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AM732" s="16"/>
      <c r="AQ732" s="16"/>
      <c r="AU732" s="16"/>
      <c r="AY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M732" s="16"/>
      <c r="BN732" s="16"/>
      <c r="BO732" s="16"/>
      <c r="BP732" s="16"/>
      <c r="BQ732" s="16"/>
      <c r="BR732" s="16">
        <v>3.5400000000000001E-2</v>
      </c>
      <c r="BS732"/>
      <c r="BV732" s="16">
        <v>5.9799999999999999E-2</v>
      </c>
      <c r="BY732" s="16"/>
      <c r="BZ732" s="16">
        <v>6.1600000000000002E-2</v>
      </c>
      <c r="CD732" s="16">
        <v>4.3099999999999999E-2</v>
      </c>
      <c r="CH732" s="44"/>
    </row>
    <row r="733" spans="1:86" x14ac:dyDescent="0.2">
      <c r="A733" s="3" t="s">
        <v>24</v>
      </c>
      <c r="B733" s="39">
        <v>793</v>
      </c>
      <c r="C733" s="82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AM733" s="16"/>
      <c r="AQ733" s="16"/>
      <c r="AU733" s="16"/>
      <c r="AY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M733" s="16"/>
      <c r="BN733" s="16"/>
      <c r="BO733" s="16"/>
      <c r="BP733" s="16"/>
      <c r="BQ733" s="16"/>
      <c r="BR733" s="16">
        <v>3.2300000000000002E-2</v>
      </c>
      <c r="BS733"/>
      <c r="BV733" s="16">
        <v>5.6599999999999998E-2</v>
      </c>
      <c r="BY733" s="16"/>
      <c r="BZ733" s="16">
        <v>7.3099999999999998E-2</v>
      </c>
      <c r="CD733" s="16">
        <v>5.6300000000000003E-2</v>
      </c>
      <c r="CH733" s="44"/>
    </row>
    <row r="734" spans="1:86" x14ac:dyDescent="0.2">
      <c r="A734" s="3" t="s">
        <v>24</v>
      </c>
      <c r="B734" s="39">
        <v>793</v>
      </c>
      <c r="C734" s="82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AM734" s="16"/>
      <c r="AQ734" s="16"/>
      <c r="AU734" s="16"/>
      <c r="AY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M734" s="16"/>
      <c r="BN734" s="16"/>
      <c r="BO734" s="16"/>
      <c r="BP734" s="16"/>
      <c r="BQ734" s="16"/>
      <c r="BR734" s="16">
        <v>2.8299999999999999E-2</v>
      </c>
      <c r="BS734"/>
      <c r="BV734" s="16">
        <v>5.6800000000000003E-2</v>
      </c>
      <c r="BY734" s="16"/>
      <c r="BZ734" s="16">
        <v>8.1900000000000001E-2</v>
      </c>
      <c r="CD734" s="16">
        <v>7.4399999999999994E-2</v>
      </c>
      <c r="CH734" s="44"/>
    </row>
    <row r="735" spans="1:86" x14ac:dyDescent="0.2">
      <c r="A735" s="3" t="s">
        <v>24</v>
      </c>
      <c r="B735" s="39">
        <v>793</v>
      </c>
      <c r="C735" s="82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AM735" s="16"/>
      <c r="AQ735" s="16"/>
      <c r="AU735" s="16"/>
      <c r="AY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M735" s="16"/>
      <c r="BN735" s="16"/>
      <c r="BO735" s="16"/>
      <c r="BP735" s="16"/>
      <c r="BQ735" s="16"/>
      <c r="BR735" s="16"/>
      <c r="BS735"/>
      <c r="BV735" s="16">
        <v>4.7699999999999999E-2</v>
      </c>
      <c r="BY735" s="16"/>
      <c r="BZ735" s="16">
        <v>7.5700000000000003E-2</v>
      </c>
      <c r="CD735" s="16">
        <v>8.5199999999999998E-2</v>
      </c>
      <c r="CH735" s="44"/>
    </row>
    <row r="736" spans="1:86" x14ac:dyDescent="0.2">
      <c r="A736" s="3" t="s">
        <v>24</v>
      </c>
      <c r="B736" s="39">
        <v>793</v>
      </c>
      <c r="C736" s="82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AM736" s="16"/>
      <c r="AQ736" s="16"/>
      <c r="AU736" s="16"/>
      <c r="AY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M736" s="16"/>
      <c r="BN736" s="16"/>
      <c r="BO736" s="16"/>
      <c r="BP736" s="16"/>
      <c r="BQ736" s="16"/>
      <c r="BR736" s="16"/>
      <c r="BS736"/>
      <c r="BV736" s="16">
        <v>3.1399999999999997E-2</v>
      </c>
      <c r="BY736" s="16"/>
      <c r="BZ736" s="16">
        <v>6.4799999999999996E-2</v>
      </c>
      <c r="CD736" s="16">
        <v>8.7400000000000005E-2</v>
      </c>
      <c r="CH736" s="44"/>
    </row>
    <row r="737" spans="1:86" x14ac:dyDescent="0.2">
      <c r="A737" s="3" t="s">
        <v>24</v>
      </c>
      <c r="B737" s="39">
        <v>794</v>
      </c>
      <c r="C737" s="82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AM737" s="16"/>
      <c r="AQ737" s="16"/>
      <c r="AU737" s="16"/>
      <c r="AY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M737" s="16"/>
      <c r="BN737" s="16"/>
      <c r="BO737" s="16"/>
      <c r="BP737" s="16"/>
      <c r="BQ737" s="16"/>
      <c r="BR737" s="16"/>
      <c r="BS737" s="16">
        <f>127.1/100000</f>
        <v>1.271E-3</v>
      </c>
      <c r="BT737" s="16">
        <f>139.7/100000</f>
        <v>1.3969999999999998E-3</v>
      </c>
      <c r="BU737" s="16">
        <f>146.4/100000</f>
        <v>1.464E-3</v>
      </c>
      <c r="BV737" s="16">
        <f>159.4/100000</f>
        <v>1.5940000000000001E-3</v>
      </c>
      <c r="BW737" s="16">
        <f>173.5/100000</f>
        <v>1.735E-3</v>
      </c>
      <c r="BX737" s="16">
        <f>164.1/100000</f>
        <v>1.6409999999999999E-3</v>
      </c>
      <c r="BY737" s="16">
        <f>150.9/100000</f>
        <v>1.5090000000000001E-3</v>
      </c>
      <c r="BZ737" s="16">
        <f>148/100000</f>
        <v>1.48E-3</v>
      </c>
      <c r="CA737" s="16">
        <f>153.4/100000</f>
        <v>1.534E-3</v>
      </c>
      <c r="CB737" s="16">
        <f>166.9/100000</f>
        <v>1.6690000000000001E-3</v>
      </c>
      <c r="CC737" s="16">
        <f>192.9/100000</f>
        <v>1.9290000000000002E-3</v>
      </c>
      <c r="CD737" s="16"/>
      <c r="CH737" s="44"/>
    </row>
    <row r="738" spans="1:86" x14ac:dyDescent="0.2">
      <c r="A738" s="3" t="s">
        <v>24</v>
      </c>
      <c r="B738" s="39">
        <v>794</v>
      </c>
      <c r="C738" s="82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AM738" s="16"/>
      <c r="AQ738" s="16"/>
      <c r="AU738" s="16"/>
      <c r="AY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M738" s="16"/>
      <c r="BN738" s="16"/>
      <c r="BO738" s="16"/>
      <c r="BP738" s="16"/>
      <c r="BQ738" s="16"/>
      <c r="BR738" s="16"/>
      <c r="BS738" s="16">
        <f>533.3/100000</f>
        <v>5.3329999999999992E-3</v>
      </c>
      <c r="BT738" s="16">
        <f>593.7/100000</f>
        <v>5.9370000000000004E-3</v>
      </c>
      <c r="BU738" s="16">
        <f>641.1/100000</f>
        <v>6.411E-3</v>
      </c>
      <c r="BV738" s="16">
        <f>701.9/100000</f>
        <v>7.0190000000000001E-3</v>
      </c>
      <c r="BW738" s="16">
        <f>773.4/100000</f>
        <v>7.7339999999999996E-3</v>
      </c>
      <c r="BX738" s="16">
        <f>734.5/100000</f>
        <v>7.345E-3</v>
      </c>
      <c r="BY738" s="16">
        <f>674.8/100000</f>
        <v>6.7479999999999997E-3</v>
      </c>
      <c r="BZ738" s="16">
        <f>647.2/100000</f>
        <v>6.4720000000000003E-3</v>
      </c>
      <c r="CA738" s="16">
        <f>661.7/100000</f>
        <v>6.6170000000000005E-3</v>
      </c>
      <c r="CB738" s="16">
        <f>702.5/100000</f>
        <v>7.025E-3</v>
      </c>
      <c r="CC738" s="16">
        <f>783.4/100000</f>
        <v>7.833999999999999E-3</v>
      </c>
      <c r="CD738" s="16"/>
      <c r="CH738" s="44"/>
    </row>
    <row r="739" spans="1:86" x14ac:dyDescent="0.2">
      <c r="A739" s="3" t="s">
        <v>24</v>
      </c>
      <c r="B739" s="39">
        <v>795</v>
      </c>
      <c r="C739" s="82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AM739" s="16"/>
      <c r="AQ739" s="16"/>
      <c r="AU739" s="16"/>
      <c r="AY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>
        <v>0.10199999999999999</v>
      </c>
      <c r="CD739" s="16"/>
      <c r="CE739" s="16">
        <v>0.1008</v>
      </c>
      <c r="CG739" s="16">
        <v>0.1047</v>
      </c>
      <c r="CH739" s="44"/>
    </row>
    <row r="740" spans="1:86" x14ac:dyDescent="0.2">
      <c r="A740" s="3" t="s">
        <v>24</v>
      </c>
      <c r="B740" s="39">
        <v>796</v>
      </c>
      <c r="C740" s="82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AM740" s="16"/>
      <c r="AQ740" s="16"/>
      <c r="AU740" s="16"/>
      <c r="AY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>
        <v>5.6899999999999999E-2</v>
      </c>
      <c r="BK740" s="16"/>
      <c r="BM740" s="16">
        <v>6.7100000000000007E-2</v>
      </c>
      <c r="BN740" s="16"/>
      <c r="BO740" s="16"/>
      <c r="BP740" s="16">
        <v>6.7699999999999996E-2</v>
      </c>
      <c r="BQ740" s="16"/>
      <c r="BR740" s="16"/>
      <c r="BS740" s="16">
        <v>7.5700000000000003E-2</v>
      </c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G740" s="16"/>
      <c r="CH740" s="44"/>
    </row>
    <row r="741" spans="1:86" x14ac:dyDescent="0.2">
      <c r="A741" s="3" t="s">
        <v>24</v>
      </c>
      <c r="B741" s="39">
        <v>796</v>
      </c>
      <c r="C741" s="82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AM741" s="16"/>
      <c r="AQ741" s="16"/>
      <c r="AU741" s="16"/>
      <c r="AY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M741" s="16">
        <f>1474/100000</f>
        <v>1.474E-2</v>
      </c>
      <c r="BN741" s="16"/>
      <c r="BO741" s="16"/>
      <c r="BP741" s="16">
        <f>1467/100000</f>
        <v>1.4670000000000001E-2</v>
      </c>
      <c r="BQ741" s="16"/>
      <c r="BR741" s="16"/>
      <c r="BS741" s="16">
        <f>1676/100000</f>
        <v>1.6760000000000001E-2</v>
      </c>
      <c r="BT741" s="16"/>
      <c r="BU741" s="16"/>
      <c r="BV741" s="16">
        <f>1799/100000</f>
        <v>1.7989999999999999E-2</v>
      </c>
      <c r="BW741" s="16"/>
      <c r="BX741" s="16"/>
      <c r="BY741" s="16"/>
      <c r="BZ741" s="16"/>
      <c r="CA741" s="16"/>
      <c r="CB741" s="16"/>
      <c r="CC741" s="16"/>
      <c r="CD741" s="16"/>
      <c r="CE741" s="16"/>
      <c r="CG741" s="16"/>
      <c r="CH741" s="44"/>
    </row>
    <row r="742" spans="1:86" x14ac:dyDescent="0.2">
      <c r="A742" s="3" t="s">
        <v>24</v>
      </c>
      <c r="B742" s="39">
        <v>796</v>
      </c>
      <c r="C742" s="82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AM742" s="16"/>
      <c r="AQ742" s="16"/>
      <c r="AU742" s="16"/>
      <c r="AY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>
        <v>2.5000000000000001E-2</v>
      </c>
      <c r="BM742" s="16"/>
      <c r="BN742" s="16"/>
      <c r="BO742" s="16"/>
      <c r="BP742" s="16"/>
      <c r="BQ742" s="16"/>
      <c r="BR742" s="16"/>
      <c r="BS742" s="16"/>
      <c r="BT742" s="16"/>
      <c r="BU742" s="16">
        <v>3.1E-2</v>
      </c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G742" s="16"/>
      <c r="CH742" s="44"/>
    </row>
    <row r="743" spans="1:86" x14ac:dyDescent="0.2">
      <c r="A743" s="3" t="s">
        <v>24</v>
      </c>
      <c r="B743" s="39">
        <v>796</v>
      </c>
      <c r="C743" s="82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AM743" s="16"/>
      <c r="AQ743" s="16"/>
      <c r="AU743" s="16"/>
      <c r="AY743" s="16"/>
      <c r="BA743" s="16"/>
      <c r="BB743" s="16"/>
      <c r="BC743" s="16"/>
      <c r="BD743" s="16"/>
      <c r="BE743" s="16"/>
      <c r="BF743" s="16">
        <v>0.04</v>
      </c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>
        <v>9.2999999999999999E-2</v>
      </c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G743" s="16"/>
      <c r="CH743" s="44"/>
    </row>
    <row r="744" spans="1:86" x14ac:dyDescent="0.2">
      <c r="A744" s="3" t="s">
        <v>24</v>
      </c>
      <c r="B744" s="39">
        <v>796</v>
      </c>
      <c r="C744" s="82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AM744" s="16"/>
      <c r="AQ744" s="16"/>
      <c r="AU744" s="16"/>
      <c r="AY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>
        <v>6.7999999999999996E-3</v>
      </c>
      <c r="BP744" s="16"/>
      <c r="BQ744" s="16"/>
      <c r="BR744" s="16"/>
      <c r="BS744" s="16">
        <v>8.8999999999999999E-3</v>
      </c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G744" s="16"/>
      <c r="CH744" s="44"/>
    </row>
    <row r="745" spans="1:86" x14ac:dyDescent="0.2">
      <c r="A745" s="3" t="s">
        <v>24</v>
      </c>
      <c r="B745" s="39">
        <v>796</v>
      </c>
      <c r="C745" s="82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AM745" s="16"/>
      <c r="AQ745" s="16"/>
      <c r="AU745" s="16"/>
      <c r="AY745" s="16"/>
      <c r="BA745" s="16"/>
      <c r="BB745" s="16"/>
      <c r="BC745" s="16"/>
      <c r="BD745" s="16">
        <v>2.5000000000000001E-2</v>
      </c>
      <c r="BE745" s="16"/>
      <c r="BF745" s="16"/>
      <c r="BG745" s="16"/>
      <c r="BH745" s="16"/>
      <c r="BI745" s="16"/>
      <c r="BJ745" s="16"/>
      <c r="BK745" s="16"/>
      <c r="BL745" s="16"/>
      <c r="BM745" s="16"/>
      <c r="BN745" s="16">
        <v>4.4999999999999998E-2</v>
      </c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G745" s="16"/>
      <c r="CH745" s="44"/>
    </row>
    <row r="746" spans="1:86" x14ac:dyDescent="0.2">
      <c r="A746" s="3" t="s">
        <v>24</v>
      </c>
      <c r="B746" s="39">
        <v>796</v>
      </c>
      <c r="C746" s="82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AM746" s="16"/>
      <c r="AQ746" s="16"/>
      <c r="AU746" s="16"/>
      <c r="AY746" s="16"/>
      <c r="BA746" s="16"/>
      <c r="BB746" s="16"/>
      <c r="BC746" s="16"/>
      <c r="BD746" s="16"/>
      <c r="BE746" s="16"/>
      <c r="BF746" s="16">
        <v>3.1E-2</v>
      </c>
      <c r="BG746" s="16"/>
      <c r="BH746" s="16"/>
      <c r="BI746" s="16"/>
      <c r="BJ746" s="16"/>
      <c r="BK746" s="16"/>
      <c r="BL746" s="16"/>
      <c r="BM746" s="16"/>
      <c r="BN746" s="16"/>
      <c r="BO746" s="16">
        <v>5.2999999999999999E-2</v>
      </c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G746" s="16"/>
      <c r="CH746" s="44"/>
    </row>
    <row r="747" spans="1:86" x14ac:dyDescent="0.2">
      <c r="A747" s="3" t="s">
        <v>24</v>
      </c>
      <c r="B747" s="39">
        <v>796</v>
      </c>
      <c r="C747" s="82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AM747" s="16"/>
      <c r="AQ747" s="16"/>
      <c r="AU747" s="16"/>
      <c r="AY747" s="16"/>
      <c r="BA747" s="16"/>
      <c r="BB747" s="16">
        <v>2.5999999999999999E-2</v>
      </c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>
        <v>0.107</v>
      </c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G747" s="16"/>
      <c r="CH747" s="44"/>
    </row>
    <row r="748" spans="1:86" x14ac:dyDescent="0.2">
      <c r="A748" s="3" t="s">
        <v>24</v>
      </c>
      <c r="B748" s="39">
        <v>796</v>
      </c>
      <c r="C748" s="82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AM748" s="16"/>
      <c r="AQ748" s="16"/>
      <c r="AU748" s="16"/>
      <c r="AY748" s="16"/>
      <c r="AZ748" s="16">
        <v>1.9E-2</v>
      </c>
      <c r="BA748" s="16"/>
      <c r="BB748" s="16"/>
      <c r="BC748" s="16"/>
      <c r="BD748" s="16"/>
      <c r="BE748" s="16"/>
      <c r="BF748" s="16"/>
      <c r="BG748" s="16">
        <v>3.5999999999999997E-2</v>
      </c>
      <c r="BI748" s="16"/>
      <c r="BJ748" s="16"/>
      <c r="BK748" s="16"/>
      <c r="BL748" s="16"/>
      <c r="BM748" s="16"/>
      <c r="BN748" s="16"/>
      <c r="BO748" s="16"/>
      <c r="BP748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G748" s="16"/>
      <c r="CH748" s="44"/>
    </row>
    <row r="749" spans="1:86" x14ac:dyDescent="0.2">
      <c r="A749" s="3" t="s">
        <v>24</v>
      </c>
      <c r="B749" s="39">
        <v>796</v>
      </c>
      <c r="C749" s="82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AM749" s="16"/>
      <c r="AQ749" s="16"/>
      <c r="AU749" s="16"/>
      <c r="AY749" s="16"/>
      <c r="BA749" s="16"/>
      <c r="BB749" s="16"/>
      <c r="BC749" s="16"/>
      <c r="BD749" s="16"/>
      <c r="BE749" s="16"/>
      <c r="BF749" s="16"/>
      <c r="BG749" s="16"/>
      <c r="BH749" s="16">
        <v>5.9999999999999995E-4</v>
      </c>
      <c r="BI749" s="16"/>
      <c r="BJ749" s="16"/>
      <c r="BK749" s="16"/>
      <c r="BL749" s="16"/>
      <c r="BM749" s="16"/>
      <c r="BN749" s="16"/>
      <c r="BO749" s="16"/>
      <c r="BP749" s="16">
        <v>1.6400000000000001E-2</v>
      </c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G749" s="16"/>
      <c r="CH749" s="44"/>
    </row>
    <row r="750" spans="1:86" x14ac:dyDescent="0.2">
      <c r="A750" s="3" t="s">
        <v>24</v>
      </c>
      <c r="B750" s="39">
        <v>796</v>
      </c>
      <c r="C750" s="82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AM750" s="16"/>
      <c r="AQ750" s="16"/>
      <c r="AU750" s="16"/>
      <c r="AY750" s="16"/>
      <c r="BA750" s="16"/>
      <c r="BB750" s="16"/>
      <c r="BC750" s="16"/>
      <c r="BD750" s="16"/>
      <c r="BE750" s="16"/>
      <c r="BF750" s="16"/>
      <c r="BG750" s="16">
        <v>4.0000000000000002E-4</v>
      </c>
      <c r="BH750" s="16"/>
      <c r="BI750" s="16"/>
      <c r="BJ750" s="16"/>
      <c r="BK750" s="16"/>
      <c r="BL750" s="16"/>
      <c r="BM750" s="16"/>
      <c r="BN750" s="16"/>
      <c r="BO750" s="16"/>
      <c r="BP750" s="16"/>
      <c r="BQ750" s="16">
        <v>4.1000000000000003E-3</v>
      </c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G750" s="16"/>
      <c r="CH750" s="44"/>
    </row>
    <row r="751" spans="1:86" x14ac:dyDescent="0.2">
      <c r="A751" s="3" t="s">
        <v>24</v>
      </c>
      <c r="B751" s="39">
        <v>796</v>
      </c>
      <c r="C751" s="82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AM751" s="16"/>
      <c r="AQ751" s="16"/>
      <c r="AU751" s="16"/>
      <c r="AY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>
        <v>8.5000000000000006E-2</v>
      </c>
      <c r="BU751" s="16"/>
      <c r="BV751" s="16"/>
      <c r="BW751" s="16"/>
      <c r="BX751" s="16"/>
      <c r="BY751" s="16"/>
      <c r="BZ751" s="16"/>
      <c r="CA751" s="16"/>
      <c r="CB751" s="16">
        <v>9.5000000000000001E-2</v>
      </c>
      <c r="CC751" s="16"/>
      <c r="CD751" s="16"/>
      <c r="CE751" s="16"/>
      <c r="CG751" s="16"/>
      <c r="CH751" s="44"/>
    </row>
    <row r="752" spans="1:86" s="46" customFormat="1" x14ac:dyDescent="0.2">
      <c r="A752" s="38" t="s">
        <v>24</v>
      </c>
      <c r="B752" s="40">
        <v>796</v>
      </c>
      <c r="C752" s="83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AM752" s="63"/>
      <c r="AQ752" s="63"/>
      <c r="AU752" s="63"/>
      <c r="AY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>
        <v>5.7000000000000002E-2</v>
      </c>
      <c r="BX752" s="63">
        <v>5.8999999999999997E-2</v>
      </c>
      <c r="BY752" s="63">
        <v>6.6000000000000003E-2</v>
      </c>
      <c r="BZ752" s="63">
        <v>6.8000000000000005E-2</v>
      </c>
      <c r="CA752" s="63">
        <v>6.6000000000000003E-2</v>
      </c>
      <c r="CB752" s="63">
        <v>6.7000000000000004E-2</v>
      </c>
      <c r="CC752" s="63">
        <v>6.8000000000000005E-2</v>
      </c>
      <c r="CD752" s="63"/>
      <c r="CE752" s="63"/>
      <c r="CG752" s="63"/>
      <c r="CH752" s="51"/>
    </row>
    <row r="753" spans="1:86" x14ac:dyDescent="0.2">
      <c r="A753" s="3" t="s">
        <v>25</v>
      </c>
      <c r="B753" s="39">
        <v>797</v>
      </c>
      <c r="C753" s="82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AQ753" s="5"/>
      <c r="BC753" s="5">
        <v>5.4699999999999999E-2</v>
      </c>
      <c r="BL753" s="5">
        <v>6.7699999999999996E-2</v>
      </c>
      <c r="BP753"/>
      <c r="BR753"/>
      <c r="BS753"/>
      <c r="CH753" s="44"/>
    </row>
    <row r="754" spans="1:86" x14ac:dyDescent="0.2">
      <c r="A754" s="3" t="s">
        <v>25</v>
      </c>
      <c r="B754" s="39">
        <v>798</v>
      </c>
      <c r="C754" s="82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AQ754" s="5"/>
      <c r="BH754" s="5">
        <v>0.20599999999999999</v>
      </c>
      <c r="BK754" s="5">
        <v>0.23499999999999999</v>
      </c>
      <c r="BN754" s="5">
        <v>0.20799999999999999</v>
      </c>
      <c r="BP754"/>
      <c r="BQ754" s="5">
        <v>0.19800000000000001</v>
      </c>
      <c r="BR754"/>
      <c r="BS754"/>
      <c r="BT754" s="5">
        <v>0.19800000000000001</v>
      </c>
      <c r="BW754" s="5">
        <v>0.23200000000000001</v>
      </c>
      <c r="CH754" s="44"/>
    </row>
    <row r="755" spans="1:86" x14ac:dyDescent="0.2">
      <c r="A755" s="3" t="s">
        <v>25</v>
      </c>
      <c r="B755" s="39">
        <v>799</v>
      </c>
      <c r="C755" s="82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AQ755" s="5"/>
      <c r="BL755" s="5">
        <v>1.6799999999999999E-2</v>
      </c>
      <c r="BP755"/>
      <c r="BQ755" s="5">
        <v>1.9E-2</v>
      </c>
      <c r="BR755"/>
      <c r="BS755"/>
      <c r="BV755" s="5">
        <v>3.6499999999999998E-2</v>
      </c>
      <c r="CA755" s="5">
        <v>4.1599999999999998E-2</v>
      </c>
      <c r="CC755" s="5">
        <v>3.9600000000000003E-2</v>
      </c>
      <c r="CH755" s="44"/>
    </row>
    <row r="756" spans="1:86" x14ac:dyDescent="0.2">
      <c r="A756" s="3" t="s">
        <v>25</v>
      </c>
      <c r="B756" s="39">
        <v>800</v>
      </c>
      <c r="C756" s="82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AQ756" s="5"/>
      <c r="BL756" s="5"/>
      <c r="BP756"/>
      <c r="BQ756" s="5">
        <v>3.1699999999999999E-2</v>
      </c>
      <c r="BR756" s="5">
        <v>4.24E-2</v>
      </c>
      <c r="BS756" s="5">
        <v>5.33E-2</v>
      </c>
      <c r="BT756" s="5">
        <v>7.0900000000000005E-2</v>
      </c>
      <c r="BU756" s="5">
        <v>8.2900000000000001E-2</v>
      </c>
      <c r="BV756" s="5">
        <v>9.6000000000000002E-2</v>
      </c>
      <c r="BW756" s="5">
        <v>0.11260000000000001</v>
      </c>
      <c r="BX756" s="5">
        <v>0.1293</v>
      </c>
      <c r="BY756" s="5">
        <v>0.14219999999999999</v>
      </c>
      <c r="BZ756" s="5">
        <v>0.1575</v>
      </c>
      <c r="CA756" s="5"/>
      <c r="CC756" s="5"/>
      <c r="CH756" s="44"/>
    </row>
    <row r="757" spans="1:86" x14ac:dyDescent="0.2">
      <c r="A757" s="3" t="s">
        <v>25</v>
      </c>
      <c r="B757" s="39">
        <v>801</v>
      </c>
      <c r="C757" s="82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AQ757" s="5"/>
      <c r="BE757" s="5">
        <v>1.4E-3</v>
      </c>
      <c r="BG757" s="5">
        <v>5.4999999999999997E-3</v>
      </c>
      <c r="BI757" s="5">
        <v>5.4000000000000003E-3</v>
      </c>
      <c r="BL757" s="5">
        <v>5.7000000000000002E-3</v>
      </c>
      <c r="BN757" s="5">
        <v>8.0999999999999996E-3</v>
      </c>
      <c r="BP757" s="5">
        <v>7.1000000000000004E-3</v>
      </c>
      <c r="BR757" s="5">
        <v>8.0000000000000002E-3</v>
      </c>
      <c r="BS757" s="5">
        <v>8.5000000000000006E-3</v>
      </c>
      <c r="BT757" s="5">
        <v>8.2000000000000007E-3</v>
      </c>
      <c r="BU757" s="5">
        <v>7.7999999999999996E-3</v>
      </c>
      <c r="BV757" s="5">
        <v>8.9999999999999993E-3</v>
      </c>
      <c r="BW757" s="5">
        <v>9.4000000000000004E-3</v>
      </c>
      <c r="BX757" s="5">
        <v>1.06E-2</v>
      </c>
      <c r="BY757" s="5">
        <v>8.0000000000000002E-3</v>
      </c>
      <c r="BZ757" s="5"/>
      <c r="CA757" s="5"/>
      <c r="CC757" s="5"/>
      <c r="CH757" s="44"/>
    </row>
    <row r="758" spans="1:86" x14ac:dyDescent="0.2">
      <c r="A758" s="3" t="s">
        <v>25</v>
      </c>
      <c r="B758" s="39">
        <v>802</v>
      </c>
      <c r="C758" s="82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AQ758" s="5"/>
      <c r="BE758" s="5"/>
      <c r="BG758" s="5"/>
      <c r="BI758" s="5"/>
      <c r="BK758" s="5">
        <v>0.14499999999999999</v>
      </c>
      <c r="BP758" s="5">
        <v>0.13400000000000001</v>
      </c>
      <c r="BR758"/>
      <c r="BS758" s="5"/>
      <c r="BT758" s="5"/>
      <c r="BU758" s="5">
        <v>0.14699999999999999</v>
      </c>
      <c r="BW758" s="5"/>
      <c r="BX758" s="5"/>
      <c r="BY758" s="5"/>
      <c r="BZ758" s="5">
        <v>0.129</v>
      </c>
      <c r="CA758" s="5"/>
      <c r="CC758" s="5"/>
      <c r="CH758" s="44"/>
    </row>
    <row r="759" spans="1:86" x14ac:dyDescent="0.2">
      <c r="A759" s="3" t="s">
        <v>25</v>
      </c>
      <c r="B759" s="39">
        <v>802</v>
      </c>
      <c r="C759" s="82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AQ759" s="5"/>
      <c r="BE759" s="5"/>
      <c r="BG759" s="5"/>
      <c r="BI759" s="5"/>
      <c r="BK759" s="5">
        <v>8.7999999999999995E-2</v>
      </c>
      <c r="BP759" s="5">
        <v>0.254</v>
      </c>
      <c r="BR759"/>
      <c r="BS759" s="5"/>
      <c r="BT759" s="5"/>
      <c r="BU759" s="5">
        <v>0.16400000000000001</v>
      </c>
      <c r="BW759" s="5"/>
      <c r="BX759" s="5"/>
      <c r="BY759" s="5"/>
      <c r="BZ759" s="5">
        <v>0.222</v>
      </c>
      <c r="CA759" s="5"/>
      <c r="CC759" s="5"/>
      <c r="CH759" s="44"/>
    </row>
    <row r="760" spans="1:86" x14ac:dyDescent="0.2">
      <c r="A760" s="3" t="s">
        <v>25</v>
      </c>
      <c r="B760" s="39">
        <v>802</v>
      </c>
      <c r="C760" s="82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AQ760" s="5"/>
      <c r="BE760" s="5"/>
      <c r="BG760" s="5"/>
      <c r="BI760" s="5"/>
      <c r="BK760" s="5">
        <v>0.127</v>
      </c>
      <c r="BP760" s="5">
        <v>0.22700000000000001</v>
      </c>
      <c r="BR760"/>
      <c r="BS760" s="5"/>
      <c r="BT760" s="5"/>
      <c r="BU760" s="5">
        <v>0.27100000000000002</v>
      </c>
      <c r="BW760" s="5"/>
      <c r="BX760" s="5"/>
      <c r="BY760" s="5"/>
      <c r="BZ760" s="5">
        <v>0.33300000000000002</v>
      </c>
      <c r="CA760" s="5"/>
      <c r="CC760" s="5"/>
      <c r="CH760" s="44"/>
    </row>
    <row r="761" spans="1:86" x14ac:dyDescent="0.2">
      <c r="A761" s="3" t="s">
        <v>25</v>
      </c>
      <c r="B761" s="39">
        <v>803</v>
      </c>
      <c r="C761" s="82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AQ761" s="5"/>
      <c r="BE761" s="5">
        <v>8.9999999999999993E-3</v>
      </c>
      <c r="BG761" s="5"/>
      <c r="BI761" s="5"/>
      <c r="BJ761" s="5">
        <v>1.0999999999999999E-2</v>
      </c>
      <c r="BK761" s="5"/>
      <c r="BP761" s="5"/>
      <c r="BR761"/>
      <c r="BS761" s="5"/>
      <c r="BT761" s="5"/>
      <c r="BU761" s="5"/>
      <c r="BW761" s="5"/>
      <c r="BX761" s="5"/>
      <c r="BY761" s="5"/>
      <c r="BZ761" s="5"/>
      <c r="CA761" s="5"/>
      <c r="CC761" s="5"/>
      <c r="CH761" s="44"/>
    </row>
    <row r="762" spans="1:86" x14ac:dyDescent="0.2">
      <c r="A762" s="3" t="s">
        <v>25</v>
      </c>
      <c r="B762" s="39">
        <v>804</v>
      </c>
      <c r="C762" s="82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AQ762" s="5"/>
      <c r="AV762" s="5">
        <v>1.4E-2</v>
      </c>
      <c r="BA762" s="10"/>
      <c r="BB762" s="10"/>
      <c r="BC762" s="5">
        <v>1.7999999999999999E-2</v>
      </c>
      <c r="BG762" s="10"/>
      <c r="BH762" s="10"/>
      <c r="BI762" s="5">
        <v>3.5000000000000003E-2</v>
      </c>
      <c r="BL762" s="10"/>
      <c r="BM762" s="10"/>
      <c r="BN762" s="10"/>
      <c r="BO762" s="10"/>
      <c r="BP762" s="5">
        <v>6.0999999999999999E-2</v>
      </c>
      <c r="BR762" s="10"/>
      <c r="BS762" s="10"/>
      <c r="BT762" s="10"/>
      <c r="BU762" s="10"/>
      <c r="BV762" s="5">
        <v>0.122</v>
      </c>
      <c r="BW762" s="5"/>
      <c r="BX762" s="5"/>
      <c r="BY762" s="5"/>
      <c r="BZ762" s="5"/>
      <c r="CA762" s="5"/>
      <c r="CC762" s="5"/>
      <c r="CH762" s="44"/>
    </row>
    <row r="763" spans="1:86" x14ac:dyDescent="0.2">
      <c r="A763" s="3" t="s">
        <v>25</v>
      </c>
      <c r="B763" s="39">
        <v>805</v>
      </c>
      <c r="C763" s="82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AQ763" s="5"/>
      <c r="AV763" s="5">
        <v>0.01</v>
      </c>
      <c r="BA763" s="10"/>
      <c r="BB763" s="10"/>
      <c r="BC763" s="5"/>
      <c r="BG763" s="10"/>
      <c r="BH763" s="10"/>
      <c r="BI763" s="5"/>
      <c r="BL763" s="10"/>
      <c r="BM763" s="10"/>
      <c r="BN763" s="10"/>
      <c r="BO763" s="10"/>
      <c r="BP763" s="5"/>
      <c r="BR763" s="10"/>
      <c r="BS763" s="5">
        <v>7.0000000000000007E-2</v>
      </c>
      <c r="BT763" s="10"/>
      <c r="BU763" s="10"/>
      <c r="BV763" s="5"/>
      <c r="BW763" s="5"/>
      <c r="BX763" s="5"/>
      <c r="BY763" s="5"/>
      <c r="BZ763" s="5"/>
      <c r="CA763" s="5"/>
      <c r="CC763" s="5"/>
      <c r="CH763" s="44"/>
    </row>
    <row r="764" spans="1:86" x14ac:dyDescent="0.2">
      <c r="A764" s="3" t="s">
        <v>25</v>
      </c>
      <c r="B764" s="39">
        <v>806</v>
      </c>
      <c r="C764" s="82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AL764" s="10">
        <f>388.4/100000</f>
        <v>3.8839999999999999E-3</v>
      </c>
      <c r="AQ764" s="10">
        <f>402.5/100000</f>
        <v>4.0249999999999999E-3</v>
      </c>
      <c r="AV764" s="5"/>
      <c r="BA764" s="10"/>
      <c r="BB764" s="10"/>
      <c r="BC764" s="5"/>
      <c r="BG764" s="10"/>
      <c r="BH764" s="10"/>
      <c r="BI764" s="5"/>
      <c r="BL764" s="10"/>
      <c r="BM764" s="10"/>
      <c r="BN764" s="10"/>
      <c r="BO764" s="10"/>
      <c r="BP764" s="5"/>
      <c r="BR764" s="10"/>
      <c r="BS764" s="5"/>
      <c r="BT764" s="10"/>
      <c r="BU764" s="10"/>
      <c r="BV764" s="5"/>
      <c r="BW764" s="5"/>
      <c r="BX764" s="5"/>
      <c r="BY764" s="5"/>
      <c r="BZ764" s="5"/>
      <c r="CA764" s="5"/>
      <c r="CC764" s="5"/>
      <c r="CH764" s="44"/>
    </row>
    <row r="765" spans="1:86" x14ac:dyDescent="0.2">
      <c r="A765" s="3" t="s">
        <v>25</v>
      </c>
      <c r="B765" s="39">
        <v>807</v>
      </c>
      <c r="C765" s="82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AL765" s="10"/>
      <c r="AQ765" s="10"/>
      <c r="AV765" s="5"/>
      <c r="BA765" s="5">
        <v>2.5999999999999999E-3</v>
      </c>
      <c r="BC765" s="10"/>
      <c r="BD765" s="10"/>
      <c r="BE765" s="10"/>
      <c r="BF765" s="10"/>
      <c r="BG765" s="10"/>
      <c r="BH765" s="10"/>
      <c r="BI765" s="10"/>
      <c r="BJ765" s="10"/>
      <c r="BK765" s="5">
        <v>4.4999999999999997E-3</v>
      </c>
      <c r="BL765" s="10"/>
      <c r="BM765" s="10"/>
      <c r="BN765" s="10"/>
      <c r="BO765" s="10"/>
      <c r="BP765" s="5"/>
      <c r="BR765" s="10"/>
      <c r="BS765" s="5"/>
      <c r="BT765" s="10"/>
      <c r="BU765" s="10"/>
      <c r="BV765" s="5"/>
      <c r="BW765" s="5"/>
      <c r="BX765" s="5"/>
      <c r="BY765" s="5"/>
      <c r="BZ765" s="5"/>
      <c r="CA765" s="5"/>
      <c r="CC765" s="5"/>
      <c r="CH765" s="44"/>
    </row>
    <row r="766" spans="1:86" s="46" customFormat="1" x14ac:dyDescent="0.2">
      <c r="A766" s="38" t="s">
        <v>25</v>
      </c>
      <c r="B766" s="40">
        <v>808</v>
      </c>
      <c r="C766" s="83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AL766" s="62"/>
      <c r="AQ766" s="62"/>
      <c r="AV766" s="48"/>
      <c r="BA766" s="48"/>
      <c r="BC766" s="62"/>
      <c r="BD766" s="62"/>
      <c r="BE766" s="62"/>
      <c r="BF766" s="62"/>
      <c r="BG766" s="62"/>
      <c r="BH766" s="48">
        <v>1.7999999999999999E-2</v>
      </c>
      <c r="BL766" s="62"/>
      <c r="BM766" s="62"/>
      <c r="BN766" s="62"/>
      <c r="BO766" s="48">
        <v>3.9E-2</v>
      </c>
      <c r="BR766" s="62"/>
      <c r="BS766" s="48"/>
      <c r="BT766" s="62"/>
      <c r="BU766" s="62"/>
      <c r="BV766" s="48"/>
      <c r="BW766" s="48">
        <v>4.8000000000000001E-2</v>
      </c>
      <c r="BY766" s="48"/>
      <c r="BZ766" s="48"/>
      <c r="CA766" s="48">
        <v>0.09</v>
      </c>
      <c r="CC766" s="48"/>
      <c r="CH766" s="51"/>
    </row>
    <row r="767" spans="1:86" x14ac:dyDescent="0.2">
      <c r="A767" s="3" t="s">
        <v>26</v>
      </c>
      <c r="B767" s="39">
        <v>809</v>
      </c>
      <c r="C767" s="82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15"/>
      <c r="O767" s="16">
        <v>1.2999999999999999E-2</v>
      </c>
      <c r="P767" s="15"/>
      <c r="Q767" s="15"/>
      <c r="R767" s="1"/>
      <c r="S767" s="1"/>
      <c r="T767" s="1"/>
      <c r="U767" s="1"/>
      <c r="V767" s="1"/>
      <c r="W767" s="5"/>
      <c r="X767" s="1"/>
      <c r="Y767" s="1"/>
      <c r="Z767" s="1"/>
      <c r="AB767" s="5"/>
      <c r="AG767" s="16">
        <v>1.7000000000000001E-2</v>
      </c>
      <c r="AK767" s="5"/>
      <c r="AU767" s="5"/>
      <c r="BB767" s="5"/>
      <c r="BD767" s="5"/>
      <c r="BG767" s="10"/>
      <c r="BK767" s="5"/>
      <c r="BL767" s="10"/>
      <c r="BP767"/>
      <c r="BR767"/>
      <c r="BS767"/>
      <c r="BU767" s="5"/>
      <c r="CH767" s="44"/>
    </row>
    <row r="768" spans="1:86" x14ac:dyDescent="0.2">
      <c r="A768" s="3" t="s">
        <v>26</v>
      </c>
      <c r="B768" s="39">
        <v>809</v>
      </c>
      <c r="C768" s="82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15"/>
      <c r="O768" s="16">
        <v>3.6999999999999998E-2</v>
      </c>
      <c r="P768" s="15"/>
      <c r="Q768" s="15"/>
      <c r="R768" s="1"/>
      <c r="S768" s="1"/>
      <c r="T768" s="1"/>
      <c r="U768" s="1"/>
      <c r="V768" s="1"/>
      <c r="W768" s="5"/>
      <c r="X768" s="1"/>
      <c r="Y768" s="1"/>
      <c r="Z768" s="1"/>
      <c r="AB768" s="5"/>
      <c r="AG768" s="16">
        <v>2.9000000000000001E-2</v>
      </c>
      <c r="AK768" s="5"/>
      <c r="AQ768" s="5"/>
      <c r="AU768" s="5"/>
      <c r="BB768" s="5"/>
      <c r="BD768" s="5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R768"/>
      <c r="BS768"/>
      <c r="BU768" s="5"/>
      <c r="CH768" s="44"/>
    </row>
    <row r="769" spans="1:86" x14ac:dyDescent="0.2">
      <c r="A769" s="3" t="s">
        <v>26</v>
      </c>
      <c r="B769" s="39">
        <v>810</v>
      </c>
      <c r="C769" s="82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15"/>
      <c r="O769" s="16"/>
      <c r="P769" s="15"/>
      <c r="Q769" s="15"/>
      <c r="R769" s="1"/>
      <c r="S769" s="1"/>
      <c r="T769" s="1"/>
      <c r="U769" s="1"/>
      <c r="V769" s="1"/>
      <c r="W769" s="5"/>
      <c r="X769" s="1"/>
      <c r="Y769" s="1"/>
      <c r="Z769" s="1"/>
      <c r="AB769" s="5"/>
      <c r="AG769" s="16"/>
      <c r="AK769" s="5"/>
      <c r="AQ769" s="16">
        <v>5.2999999999999999E-2</v>
      </c>
      <c r="AU769" s="5"/>
      <c r="BB769" s="5"/>
      <c r="BD769" s="5"/>
      <c r="BF769" s="16">
        <v>0.127</v>
      </c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R769"/>
      <c r="BS769"/>
      <c r="BU769" s="5"/>
      <c r="CH769" s="44"/>
    </row>
    <row r="770" spans="1:86" x14ac:dyDescent="0.2">
      <c r="A770" s="3" t="s">
        <v>26</v>
      </c>
      <c r="B770" s="39">
        <v>811</v>
      </c>
      <c r="C770" s="82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15"/>
      <c r="O770" s="16">
        <v>8.4000000000000005E-2</v>
      </c>
      <c r="P770" s="15"/>
      <c r="Q770" s="15"/>
      <c r="R770" s="1"/>
      <c r="S770" s="1"/>
      <c r="T770" s="1"/>
      <c r="U770" s="1"/>
      <c r="V770" s="1"/>
      <c r="W770" s="5"/>
      <c r="X770" s="1"/>
      <c r="Y770" s="1"/>
      <c r="Z770" s="1"/>
      <c r="AB770" s="5"/>
      <c r="AG770" s="16">
        <v>0.106</v>
      </c>
      <c r="AK770" s="5"/>
      <c r="AQ770" s="16"/>
      <c r="AU770" s="5"/>
      <c r="BB770" s="5"/>
      <c r="BC770" s="18">
        <v>0.109</v>
      </c>
      <c r="BD770" s="5"/>
      <c r="BF770" s="16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R770"/>
      <c r="BS770"/>
      <c r="BU770" s="5"/>
      <c r="CH770" s="44"/>
    </row>
    <row r="771" spans="1:86" x14ac:dyDescent="0.2">
      <c r="A771" s="3" t="s">
        <v>26</v>
      </c>
      <c r="B771" s="39">
        <v>812</v>
      </c>
      <c r="C771" s="82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15"/>
      <c r="O771" s="16"/>
      <c r="P771" s="15"/>
      <c r="Q771" s="15"/>
      <c r="R771" s="1"/>
      <c r="S771" s="1"/>
      <c r="T771" s="1"/>
      <c r="U771" s="1"/>
      <c r="V771" s="1"/>
      <c r="W771" s="5"/>
      <c r="X771" s="1"/>
      <c r="Y771" s="1"/>
      <c r="Z771" s="1"/>
      <c r="AB771" s="5"/>
      <c r="AG771" s="16"/>
      <c r="AK771" s="5"/>
      <c r="AQ771" s="16"/>
      <c r="AU771" s="5"/>
      <c r="BB771" s="5"/>
      <c r="BC771" s="18"/>
      <c r="BD771" s="5"/>
      <c r="BF771" s="16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R771"/>
      <c r="BS771" s="16">
        <v>2.4E-2</v>
      </c>
      <c r="BT771" s="16">
        <v>2.3E-2</v>
      </c>
      <c r="BU771" s="5"/>
      <c r="CH771" s="44"/>
    </row>
    <row r="772" spans="1:86" x14ac:dyDescent="0.2">
      <c r="A772" s="3" t="s">
        <v>26</v>
      </c>
      <c r="B772" s="39">
        <v>812</v>
      </c>
      <c r="C772" s="82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15"/>
      <c r="O772" s="16"/>
      <c r="P772" s="15"/>
      <c r="Q772" s="15"/>
      <c r="R772" s="1"/>
      <c r="S772" s="1"/>
      <c r="T772" s="1"/>
      <c r="U772" s="1"/>
      <c r="V772" s="1"/>
      <c r="W772" s="5"/>
      <c r="X772" s="1"/>
      <c r="Y772" s="1"/>
      <c r="Z772" s="1"/>
      <c r="AB772" s="5"/>
      <c r="AG772" s="16"/>
      <c r="AK772" s="5"/>
      <c r="AQ772" s="16"/>
      <c r="AU772" s="5"/>
      <c r="BB772" s="5"/>
      <c r="BC772" s="18"/>
      <c r="BD772" s="5"/>
      <c r="BF772" s="16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R772"/>
      <c r="BS772" s="16">
        <v>1.9E-2</v>
      </c>
      <c r="BT772" s="16">
        <v>2.3E-2</v>
      </c>
      <c r="BU772" s="5"/>
      <c r="CH772" s="44"/>
    </row>
    <row r="773" spans="1:86" x14ac:dyDescent="0.2">
      <c r="A773" s="3" t="s">
        <v>26</v>
      </c>
      <c r="B773" s="39">
        <v>812</v>
      </c>
      <c r="C773" s="82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15"/>
      <c r="O773" s="16"/>
      <c r="P773" s="15"/>
      <c r="Q773" s="15"/>
      <c r="R773" s="1"/>
      <c r="S773" s="1"/>
      <c r="T773" s="1"/>
      <c r="U773" s="1"/>
      <c r="V773" s="1"/>
      <c r="W773" s="5"/>
      <c r="X773" s="1"/>
      <c r="Y773" s="1"/>
      <c r="Z773" s="1"/>
      <c r="AB773" s="5"/>
      <c r="AG773" s="16"/>
      <c r="AK773" s="5"/>
      <c r="AQ773" s="16"/>
      <c r="AU773" s="5"/>
      <c r="BB773" s="5"/>
      <c r="BC773" s="18"/>
      <c r="BD773" s="5"/>
      <c r="BF773" s="16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R773"/>
      <c r="BS773" s="16">
        <v>2.5000000000000001E-2</v>
      </c>
      <c r="BT773" s="16">
        <v>3.5999999999999997E-2</v>
      </c>
      <c r="BU773" s="5"/>
      <c r="CH773" s="44"/>
    </row>
    <row r="774" spans="1:86" x14ac:dyDescent="0.2">
      <c r="A774" s="3" t="s">
        <v>26</v>
      </c>
      <c r="B774" s="41" t="s">
        <v>42</v>
      </c>
      <c r="C774" s="84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15"/>
      <c r="O774" s="16"/>
      <c r="P774" s="15"/>
      <c r="Q774" s="15"/>
      <c r="R774" s="1"/>
      <c r="S774" s="1"/>
      <c r="T774" s="1"/>
      <c r="U774" s="1"/>
      <c r="V774" s="1"/>
      <c r="W774" s="5"/>
      <c r="X774" s="1"/>
      <c r="Y774" s="1"/>
      <c r="Z774" s="1"/>
      <c r="AB774" s="5"/>
      <c r="AG774" s="16"/>
      <c r="AK774" s="5"/>
      <c r="AQ774" s="16"/>
      <c r="AU774" s="5"/>
      <c r="BB774" s="5"/>
      <c r="BC774" s="18"/>
      <c r="BD774" s="5"/>
      <c r="BF774" s="16"/>
      <c r="BG774" s="16">
        <v>0.193</v>
      </c>
      <c r="BH774" s="18"/>
      <c r="BI774" s="18"/>
      <c r="BJ774" s="18"/>
      <c r="BK774" s="18"/>
      <c r="BL774" s="18"/>
      <c r="BM774" s="18"/>
      <c r="BN774" s="18"/>
      <c r="BO774" s="18"/>
      <c r="BP774" s="18"/>
      <c r="BR774"/>
      <c r="BS774" s="16"/>
      <c r="BT774" s="16">
        <v>0.19600000000000001</v>
      </c>
      <c r="BU774" s="5"/>
      <c r="CH774" s="44"/>
    </row>
    <row r="775" spans="1:86" x14ac:dyDescent="0.2">
      <c r="A775" s="3" t="s">
        <v>26</v>
      </c>
      <c r="B775" s="39">
        <v>815</v>
      </c>
      <c r="C775" s="82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15"/>
      <c r="O775" s="16"/>
      <c r="P775" s="15"/>
      <c r="Q775" s="15"/>
      <c r="R775" s="1"/>
      <c r="S775" s="1"/>
      <c r="T775" s="1"/>
      <c r="U775" s="1"/>
      <c r="V775" s="1"/>
      <c r="W775" s="5"/>
      <c r="X775" s="1"/>
      <c r="Y775" s="1"/>
      <c r="Z775" s="1"/>
      <c r="AB775" s="5"/>
      <c r="AG775" s="16"/>
      <c r="AK775" s="5"/>
      <c r="AQ775" s="16"/>
      <c r="AU775" s="5"/>
      <c r="BA775" s="16">
        <v>0.2462</v>
      </c>
      <c r="BB775" s="5"/>
      <c r="BC775" s="18"/>
      <c r="BD775" s="5"/>
      <c r="BF775" s="16"/>
      <c r="BG775" s="16"/>
      <c r="BH775" s="18"/>
      <c r="BI775" s="18"/>
      <c r="BJ775" s="18"/>
      <c r="BK775" s="18"/>
      <c r="BL775" s="16">
        <v>0.3251</v>
      </c>
      <c r="BM775" s="18"/>
      <c r="BN775" s="18"/>
      <c r="BO775" s="18"/>
      <c r="BP775" s="18"/>
      <c r="BR775"/>
      <c r="BS775" s="16"/>
      <c r="BT775" s="16"/>
      <c r="BU775" s="5"/>
      <c r="CH775" s="44"/>
    </row>
    <row r="776" spans="1:86" x14ac:dyDescent="0.2">
      <c r="A776" s="3" t="s">
        <v>26</v>
      </c>
      <c r="B776" s="39">
        <v>815</v>
      </c>
      <c r="C776" s="82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15"/>
      <c r="O776" s="16"/>
      <c r="P776" s="15"/>
      <c r="Q776" s="15"/>
      <c r="R776" s="1"/>
      <c r="S776" s="1"/>
      <c r="T776" s="1"/>
      <c r="U776" s="1"/>
      <c r="V776" s="1"/>
      <c r="W776" s="5"/>
      <c r="X776" s="1"/>
      <c r="Y776" s="1"/>
      <c r="Z776" s="1"/>
      <c r="AB776" s="5"/>
      <c r="AG776" s="16"/>
      <c r="AK776" s="5"/>
      <c r="AQ776" s="16"/>
      <c r="AU776" s="5"/>
      <c r="BA776" s="16">
        <v>0.16259999999999999</v>
      </c>
      <c r="BB776" s="5"/>
      <c r="BC776" s="18"/>
      <c r="BD776" s="5"/>
      <c r="BF776" s="16"/>
      <c r="BG776" s="16"/>
      <c r="BH776" s="18"/>
      <c r="BI776" s="18"/>
      <c r="BJ776" s="18"/>
      <c r="BK776" s="18"/>
      <c r="BL776" s="16">
        <v>0.2626</v>
      </c>
      <c r="BM776" s="18"/>
      <c r="BN776" s="18"/>
      <c r="BO776" s="18"/>
      <c r="BP776" s="18"/>
      <c r="BR776"/>
      <c r="BS776" s="16"/>
      <c r="BT776" s="16"/>
      <c r="BU776" s="5"/>
      <c r="CH776" s="44"/>
    </row>
    <row r="777" spans="1:86" x14ac:dyDescent="0.2">
      <c r="A777" s="3" t="s">
        <v>26</v>
      </c>
      <c r="B777" s="39">
        <v>815</v>
      </c>
      <c r="C777" s="82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15"/>
      <c r="O777" s="16"/>
      <c r="P777" s="15"/>
      <c r="Q777" s="15"/>
      <c r="R777" s="1"/>
      <c r="S777" s="1"/>
      <c r="T777" s="1"/>
      <c r="U777" s="1"/>
      <c r="V777" s="1"/>
      <c r="W777" s="5"/>
      <c r="X777" s="1"/>
      <c r="Y777" s="1"/>
      <c r="Z777" s="1"/>
      <c r="AB777" s="5"/>
      <c r="AG777" s="16"/>
      <c r="AK777" s="5"/>
      <c r="AQ777" s="16"/>
      <c r="AU777" s="5"/>
      <c r="BA777" s="16">
        <v>0.1464</v>
      </c>
      <c r="BB777" s="5"/>
      <c r="BC777" s="18"/>
      <c r="BD777" s="5"/>
      <c r="BF777" s="16"/>
      <c r="BG777" s="16"/>
      <c r="BH777" s="18"/>
      <c r="BI777" s="18"/>
      <c r="BJ777" s="18"/>
      <c r="BK777" s="18"/>
      <c r="BL777" s="16">
        <v>0.2175</v>
      </c>
      <c r="BM777" s="18"/>
      <c r="BN777" s="18"/>
      <c r="BO777" s="18"/>
      <c r="BP777" s="18"/>
      <c r="BR777"/>
      <c r="BS777" s="16"/>
      <c r="BT777" s="16"/>
      <c r="BU777" s="5"/>
      <c r="CH777" s="44"/>
    </row>
    <row r="778" spans="1:86" x14ac:dyDescent="0.2">
      <c r="A778" s="3" t="s">
        <v>26</v>
      </c>
      <c r="B778" s="39">
        <v>816</v>
      </c>
      <c r="C778" s="82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15"/>
      <c r="O778" s="16"/>
      <c r="P778" s="15"/>
      <c r="Q778" s="15"/>
      <c r="R778" s="1"/>
      <c r="S778" s="1"/>
      <c r="T778" s="1"/>
      <c r="U778" s="1"/>
      <c r="V778" s="1"/>
      <c r="W778" s="5"/>
      <c r="X778" s="1"/>
      <c r="Y778" s="1"/>
      <c r="Z778" s="1"/>
      <c r="AB778" s="5"/>
      <c r="AG778" s="16"/>
      <c r="AK778" s="5"/>
      <c r="AQ778" s="16"/>
      <c r="AU778" s="5"/>
      <c r="BA778" s="16">
        <v>3.7999999999999999E-2</v>
      </c>
      <c r="BB778" s="5"/>
      <c r="BC778" s="18"/>
      <c r="BD778" s="5"/>
      <c r="BF778" s="16"/>
      <c r="BG778" s="16"/>
      <c r="BH778" s="18"/>
      <c r="BI778" s="18"/>
      <c r="BJ778" s="18"/>
      <c r="BK778" s="18"/>
      <c r="BL778" s="16"/>
      <c r="BM778" s="18"/>
      <c r="BN778" s="18"/>
      <c r="BO778" s="18"/>
      <c r="BP778" s="18"/>
      <c r="BR778"/>
      <c r="BS778" s="16"/>
      <c r="BT778" s="16"/>
      <c r="BU778" s="16">
        <v>0.04</v>
      </c>
      <c r="CH778" s="44"/>
    </row>
    <row r="779" spans="1:86" x14ac:dyDescent="0.2">
      <c r="A779" s="3" t="s">
        <v>26</v>
      </c>
      <c r="B779" s="39">
        <v>817</v>
      </c>
      <c r="C779" s="82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15"/>
      <c r="O779" s="16"/>
      <c r="P779" s="15"/>
      <c r="Q779" s="15"/>
      <c r="R779" s="1"/>
      <c r="S779" s="1"/>
      <c r="T779" s="1"/>
      <c r="U779" s="1"/>
      <c r="V779" s="1"/>
      <c r="W779" s="5"/>
      <c r="X779" s="1"/>
      <c r="Y779" s="1"/>
      <c r="Z779" s="1"/>
      <c r="AB779" s="5"/>
      <c r="AG779" s="16"/>
      <c r="AK779" s="5"/>
      <c r="AQ779" s="16"/>
      <c r="AU779" s="5"/>
      <c r="BA779" s="16"/>
      <c r="BB779" s="5"/>
      <c r="BC779" s="18"/>
      <c r="BD779" s="5"/>
      <c r="BF779" s="16"/>
      <c r="BG779" s="16"/>
      <c r="BH779" s="18"/>
      <c r="BI779" s="18"/>
      <c r="BJ779" s="18"/>
      <c r="BK779" s="16">
        <v>4.8000000000000001E-2</v>
      </c>
      <c r="BL779" s="16"/>
      <c r="BM779" s="18"/>
      <c r="BN779" s="18"/>
      <c r="BO779" s="18"/>
      <c r="BP779" s="18"/>
      <c r="BR779"/>
      <c r="BS779" s="16"/>
      <c r="BT779" s="16"/>
      <c r="BU779" s="16">
        <v>7.3200000000000001E-2</v>
      </c>
      <c r="CH779" s="44"/>
    </row>
    <row r="780" spans="1:86" x14ac:dyDescent="0.2">
      <c r="A780" s="3" t="s">
        <v>26</v>
      </c>
      <c r="B780" s="39">
        <v>817</v>
      </c>
      <c r="C780" s="82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15"/>
      <c r="O780" s="16"/>
      <c r="P780" s="15"/>
      <c r="Q780" s="15"/>
      <c r="R780" s="1"/>
      <c r="S780" s="1"/>
      <c r="T780" s="1"/>
      <c r="U780" s="1"/>
      <c r="V780" s="1"/>
      <c r="W780" s="5"/>
      <c r="X780" s="1"/>
      <c r="Y780" s="1"/>
      <c r="Z780" s="1"/>
      <c r="AB780" s="5"/>
      <c r="AG780" s="16"/>
      <c r="AK780" s="5"/>
      <c r="AQ780" s="16"/>
      <c r="AU780" s="5"/>
      <c r="BA780" s="16"/>
      <c r="BB780" s="5"/>
      <c r="BC780" s="18"/>
      <c r="BD780" s="5"/>
      <c r="BF780" s="16"/>
      <c r="BG780" s="16"/>
      <c r="BH780" s="18"/>
      <c r="BI780" s="18"/>
      <c r="BJ780" s="18"/>
      <c r="BK780" s="16">
        <v>7.0599999999999996E-2</v>
      </c>
      <c r="BL780" s="16"/>
      <c r="BM780" s="18"/>
      <c r="BN780" s="18"/>
      <c r="BO780" s="18"/>
      <c r="BP780" s="18"/>
      <c r="BR780"/>
      <c r="BS780" s="16"/>
      <c r="BT780" s="16"/>
      <c r="BU780" s="16">
        <v>8.6800000000000002E-2</v>
      </c>
      <c r="CH780" s="44"/>
    </row>
    <row r="781" spans="1:86" x14ac:dyDescent="0.2">
      <c r="A781" s="3" t="s">
        <v>26</v>
      </c>
      <c r="B781" s="39">
        <v>818</v>
      </c>
      <c r="C781" s="82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15"/>
      <c r="O781" s="16"/>
      <c r="P781" s="15"/>
      <c r="Q781" s="15"/>
      <c r="R781" s="1"/>
      <c r="S781" s="1"/>
      <c r="T781" s="1"/>
      <c r="U781" s="1"/>
      <c r="V781" s="1"/>
      <c r="W781" s="5"/>
      <c r="X781" s="1"/>
      <c r="Y781" s="1"/>
      <c r="Z781" s="1"/>
      <c r="AB781" s="5"/>
      <c r="AG781" s="16"/>
      <c r="AK781" s="5"/>
      <c r="AQ781" s="16"/>
      <c r="AU781" s="5"/>
      <c r="BA781" s="16"/>
      <c r="BB781" s="5"/>
      <c r="BC781" s="18"/>
      <c r="BD781" s="5"/>
      <c r="BF781" s="16"/>
      <c r="BG781" s="16"/>
      <c r="BH781" s="18"/>
      <c r="BI781" s="18"/>
      <c r="BJ781" s="18"/>
      <c r="BK781" s="16"/>
      <c r="BL781" s="16"/>
      <c r="BM781" s="18"/>
      <c r="BN781" s="18"/>
      <c r="BO781" s="18"/>
      <c r="BP781" s="18"/>
      <c r="BR781"/>
      <c r="BS781" s="16"/>
      <c r="BT781" s="16"/>
      <c r="BU781" s="16">
        <v>8.9999999999999993E-3</v>
      </c>
      <c r="BX781" s="16"/>
      <c r="CA781" s="16">
        <v>1.6E-2</v>
      </c>
      <c r="CH781" s="44"/>
    </row>
    <row r="782" spans="1:86" x14ac:dyDescent="0.2">
      <c r="A782" s="3" t="s">
        <v>26</v>
      </c>
      <c r="B782" s="39">
        <v>819</v>
      </c>
      <c r="C782" s="82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15"/>
      <c r="O782" s="16"/>
      <c r="P782" s="15"/>
      <c r="Q782" s="15"/>
      <c r="R782" s="1"/>
      <c r="S782" s="1"/>
      <c r="T782" s="1"/>
      <c r="U782" s="1"/>
      <c r="V782" s="1"/>
      <c r="W782" s="5"/>
      <c r="X782" s="1"/>
      <c r="Y782" s="1"/>
      <c r="Z782" s="1"/>
      <c r="AB782" s="5"/>
      <c r="AG782" s="16"/>
      <c r="AK782" s="5"/>
      <c r="AQ782" s="16"/>
      <c r="AU782" s="5"/>
      <c r="BA782" s="16"/>
      <c r="BB782" s="5"/>
      <c r="BC782" s="18"/>
      <c r="BD782" s="5"/>
      <c r="BF782" s="16"/>
      <c r="BG782" s="16"/>
      <c r="BH782" s="18"/>
      <c r="BI782" s="18"/>
      <c r="BJ782" s="18"/>
      <c r="BK782" s="16"/>
      <c r="BL782" s="16"/>
      <c r="BM782" s="18"/>
      <c r="BN782" s="18"/>
      <c r="BO782" s="18"/>
      <c r="BP782" s="18"/>
      <c r="BR782" s="16">
        <v>7.2999999999999995E-2</v>
      </c>
      <c r="BS782" s="16">
        <v>7.1999999999999995E-2</v>
      </c>
      <c r="BT782" s="16">
        <v>7.3999999999999996E-2</v>
      </c>
      <c r="BU782" s="16">
        <v>7.3999999999999996E-2</v>
      </c>
      <c r="BV782" s="16">
        <v>7.5999999999999998E-2</v>
      </c>
      <c r="BW782" s="16">
        <v>7.5999999999999998E-2</v>
      </c>
      <c r="BX782" s="16">
        <v>0.08</v>
      </c>
      <c r="BY782" s="16">
        <v>8.1000000000000003E-2</v>
      </c>
      <c r="BZ782" s="16">
        <v>8.5000000000000006E-2</v>
      </c>
      <c r="CA782" s="16">
        <v>8.7999999999999995E-2</v>
      </c>
      <c r="CB782" s="16">
        <v>9.4E-2</v>
      </c>
      <c r="CH782" s="44"/>
    </row>
    <row r="783" spans="1:86" x14ac:dyDescent="0.2">
      <c r="A783" s="3" t="s">
        <v>26</v>
      </c>
      <c r="B783" s="39">
        <v>820</v>
      </c>
      <c r="C783" s="82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15"/>
      <c r="O783" s="16"/>
      <c r="P783" s="15"/>
      <c r="Q783" s="15"/>
      <c r="R783" s="1"/>
      <c r="S783" s="1"/>
      <c r="T783" s="1"/>
      <c r="U783" s="1"/>
      <c r="V783" s="1"/>
      <c r="W783" s="5"/>
      <c r="X783" s="1"/>
      <c r="Y783" s="1"/>
      <c r="Z783" s="1"/>
      <c r="AB783" s="5"/>
      <c r="AG783" s="16"/>
      <c r="AK783" s="5"/>
      <c r="AQ783" s="16"/>
      <c r="AU783" s="5"/>
      <c r="BA783" s="16"/>
      <c r="BB783" s="5"/>
      <c r="BC783" s="18"/>
      <c r="BD783" s="5"/>
      <c r="BF783" s="16"/>
      <c r="BG783" s="16"/>
      <c r="BH783" s="18"/>
      <c r="BI783" s="18"/>
      <c r="BJ783" s="18"/>
      <c r="BK783" s="16"/>
      <c r="BL783" s="16"/>
      <c r="BM783" s="18"/>
      <c r="BN783" s="16">
        <v>9.4E-2</v>
      </c>
      <c r="BO783" s="18"/>
      <c r="BP783" s="18"/>
      <c r="BR783" s="16"/>
      <c r="BS783" s="16"/>
      <c r="BT783" s="16"/>
      <c r="BU783" s="16"/>
      <c r="BV783" s="16"/>
      <c r="BW783" s="16"/>
      <c r="BX783" s="16">
        <v>0.11600000000000001</v>
      </c>
      <c r="BY783" s="16"/>
      <c r="BZ783" s="16"/>
      <c r="CA783" s="16"/>
      <c r="CB783" s="16"/>
      <c r="CD783" s="16">
        <v>0.28299999999999997</v>
      </c>
      <c r="CH783" s="44"/>
    </row>
    <row r="784" spans="1:86" x14ac:dyDescent="0.2">
      <c r="A784" s="3" t="s">
        <v>26</v>
      </c>
      <c r="B784" s="39">
        <v>820</v>
      </c>
      <c r="C784" s="82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15"/>
      <c r="O784" s="16"/>
      <c r="P784" s="15"/>
      <c r="Q784" s="15"/>
      <c r="R784" s="1"/>
      <c r="S784" s="1"/>
      <c r="T784" s="1"/>
      <c r="U784" s="1"/>
      <c r="V784" s="1"/>
      <c r="W784" s="5"/>
      <c r="X784" s="1"/>
      <c r="Y784" s="1"/>
      <c r="Z784" s="1"/>
      <c r="AB784" s="5"/>
      <c r="AG784" s="16"/>
      <c r="AK784" s="5"/>
      <c r="AQ784" s="16"/>
      <c r="AU784" s="5"/>
      <c r="BA784" s="16"/>
      <c r="BB784" s="5"/>
      <c r="BC784" s="18"/>
      <c r="BD784" s="5"/>
      <c r="BF784" s="16"/>
      <c r="BG784" s="16"/>
      <c r="BH784" s="18"/>
      <c r="BI784" s="18"/>
      <c r="BJ784" s="18"/>
      <c r="BK784" s="16"/>
      <c r="BL784" s="16"/>
      <c r="BM784" s="18"/>
      <c r="BN784" s="16">
        <v>8.2000000000000003E-2</v>
      </c>
      <c r="BO784" s="18"/>
      <c r="BP784" s="18"/>
      <c r="BR784" s="16"/>
      <c r="BS784" s="16"/>
      <c r="BT784" s="16"/>
      <c r="BU784" s="16"/>
      <c r="BV784" s="16"/>
      <c r="BW784" s="16"/>
      <c r="BX784" s="16">
        <v>0.06</v>
      </c>
      <c r="BY784" s="16"/>
      <c r="BZ784" s="16"/>
      <c r="CA784" s="16"/>
      <c r="CB784" s="16"/>
      <c r="CD784" s="16">
        <v>0.128</v>
      </c>
      <c r="CH784" s="44"/>
    </row>
    <row r="785" spans="1:86" x14ac:dyDescent="0.2">
      <c r="A785" s="3" t="s">
        <v>26</v>
      </c>
      <c r="B785" s="39">
        <v>820</v>
      </c>
      <c r="C785" s="82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15"/>
      <c r="O785" s="16"/>
      <c r="P785" s="15"/>
      <c r="Q785" s="15"/>
      <c r="R785" s="1"/>
      <c r="S785" s="1"/>
      <c r="T785" s="1"/>
      <c r="U785" s="1"/>
      <c r="V785" s="1"/>
      <c r="W785" s="5"/>
      <c r="X785" s="1"/>
      <c r="Y785" s="1"/>
      <c r="Z785" s="1"/>
      <c r="AB785" s="5"/>
      <c r="AG785" s="16"/>
      <c r="AK785" s="5"/>
      <c r="AQ785" s="16"/>
      <c r="AU785" s="5"/>
      <c r="BA785" s="16"/>
      <c r="BB785" s="5"/>
      <c r="BC785" s="18"/>
      <c r="BD785" s="5"/>
      <c r="BF785" s="16"/>
      <c r="BG785" s="16"/>
      <c r="BH785" s="18"/>
      <c r="BI785" s="18"/>
      <c r="BJ785" s="18"/>
      <c r="BK785" s="16"/>
      <c r="BL785" s="16"/>
      <c r="BM785" s="18"/>
      <c r="BN785" s="16">
        <v>0.27</v>
      </c>
      <c r="BO785" s="18"/>
      <c r="BP785" s="18"/>
      <c r="BR785" s="16"/>
      <c r="BS785" s="16"/>
      <c r="BT785" s="16"/>
      <c r="BU785" s="16"/>
      <c r="BV785" s="16"/>
      <c r="BW785" s="16"/>
      <c r="BX785" s="16">
        <v>0.32900000000000001</v>
      </c>
      <c r="BY785" s="16"/>
      <c r="BZ785" s="16"/>
      <c r="CA785" s="16"/>
      <c r="CB785" s="16"/>
      <c r="CD785" s="16">
        <v>0.38400000000000001</v>
      </c>
      <c r="CH785" s="44"/>
    </row>
    <row r="786" spans="1:86" x14ac:dyDescent="0.2">
      <c r="A786" s="3" t="s">
        <v>26</v>
      </c>
      <c r="B786" s="39">
        <v>820</v>
      </c>
      <c r="C786" s="82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15"/>
      <c r="O786" s="16"/>
      <c r="P786" s="15"/>
      <c r="Q786" s="15"/>
      <c r="R786" s="1"/>
      <c r="S786" s="1"/>
      <c r="T786" s="1"/>
      <c r="U786" s="1"/>
      <c r="V786" s="1"/>
      <c r="W786" s="5"/>
      <c r="X786" s="1"/>
      <c r="Y786" s="1"/>
      <c r="Z786" s="1"/>
      <c r="AB786" s="5"/>
      <c r="AG786" s="16"/>
      <c r="AK786" s="5"/>
      <c r="AQ786" s="16"/>
      <c r="AU786" s="5"/>
      <c r="BA786" s="16"/>
      <c r="BB786" s="5"/>
      <c r="BC786" s="18"/>
      <c r="BD786" s="5"/>
      <c r="BF786" s="16"/>
      <c r="BG786" s="16"/>
      <c r="BH786" s="18"/>
      <c r="BI786" s="18"/>
      <c r="BJ786" s="18"/>
      <c r="BK786" s="16"/>
      <c r="BL786" s="16"/>
      <c r="BM786" s="18"/>
      <c r="BN786" s="16">
        <v>0.19</v>
      </c>
      <c r="BO786" s="18"/>
      <c r="BP786" s="18"/>
      <c r="BR786" s="16"/>
      <c r="BS786" s="16"/>
      <c r="BT786" s="16"/>
      <c r="BU786" s="16"/>
      <c r="BV786" s="16"/>
      <c r="BW786" s="16"/>
      <c r="BX786" s="16">
        <v>0.152</v>
      </c>
      <c r="BY786" s="16"/>
      <c r="BZ786" s="16"/>
      <c r="CA786" s="16"/>
      <c r="CB786" s="16"/>
      <c r="CD786" s="16">
        <v>0.34</v>
      </c>
      <c r="CH786" s="44"/>
    </row>
    <row r="787" spans="1:86" x14ac:dyDescent="0.2">
      <c r="A787" s="3" t="s">
        <v>26</v>
      </c>
      <c r="B787" s="39">
        <v>91</v>
      </c>
      <c r="C787" s="82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15"/>
      <c r="O787" s="16"/>
      <c r="P787" s="15"/>
      <c r="Q787" s="15"/>
      <c r="R787" s="1"/>
      <c r="S787" s="1"/>
      <c r="T787" s="1"/>
      <c r="U787" s="1"/>
      <c r="V787" s="1"/>
      <c r="W787" s="5"/>
      <c r="X787" s="1"/>
      <c r="Y787" s="1"/>
      <c r="Z787" s="1"/>
      <c r="AB787" s="5"/>
      <c r="AG787" s="16"/>
      <c r="AK787" s="5"/>
      <c r="AQ787" s="16"/>
      <c r="AU787" s="5"/>
      <c r="BA787" s="16"/>
      <c r="BB787" s="5"/>
      <c r="BC787" s="18"/>
      <c r="BD787" s="5"/>
      <c r="BF787" s="16"/>
      <c r="BG787" s="16"/>
      <c r="BH787" s="18"/>
      <c r="BI787" s="18"/>
      <c r="BJ787" s="18"/>
      <c r="BK787" s="16"/>
      <c r="BL787" s="16"/>
      <c r="BM787" s="18"/>
      <c r="BN787" s="16"/>
      <c r="BO787" s="18"/>
      <c r="BP787" s="18"/>
      <c r="BR787" s="16"/>
      <c r="BS787" s="16"/>
      <c r="BT787" s="16"/>
      <c r="BU787" s="16"/>
      <c r="BV787" s="16"/>
      <c r="BW787" s="16">
        <v>3.6999999999999998E-2</v>
      </c>
      <c r="BX787" s="16">
        <v>4.2000000000000003E-2</v>
      </c>
      <c r="BY787" s="16">
        <v>4.9000000000000002E-2</v>
      </c>
      <c r="BZ787" s="16">
        <v>5.2999999999999999E-2</v>
      </c>
      <c r="CA787" s="16">
        <v>5.6000000000000001E-2</v>
      </c>
      <c r="CB787" s="16">
        <v>6.3E-2</v>
      </c>
      <c r="CC787" s="16">
        <v>7.1999999999999995E-2</v>
      </c>
      <c r="CD787" s="16"/>
      <c r="CH787" s="44"/>
    </row>
    <row r="788" spans="1:86" x14ac:dyDescent="0.2">
      <c r="A788" s="3" t="s">
        <v>26</v>
      </c>
      <c r="B788" s="39">
        <v>821</v>
      </c>
      <c r="C788" s="82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15"/>
      <c r="O788" s="16"/>
      <c r="P788" s="15"/>
      <c r="Q788" s="15"/>
      <c r="R788" s="1"/>
      <c r="S788" s="1"/>
      <c r="T788" s="1"/>
      <c r="U788" s="1"/>
      <c r="V788" s="1"/>
      <c r="W788" s="5"/>
      <c r="X788" s="1"/>
      <c r="Y788" s="1"/>
      <c r="Z788" s="1"/>
      <c r="AB788" s="5"/>
      <c r="AG788" s="16"/>
      <c r="AK788" s="5"/>
      <c r="AQ788" s="16"/>
      <c r="AU788" s="5"/>
      <c r="BA788" s="16"/>
      <c r="BB788" s="5"/>
      <c r="BC788" s="18"/>
      <c r="BD788" s="5"/>
      <c r="BF788" s="16"/>
      <c r="BG788" s="16"/>
      <c r="BH788" s="18"/>
      <c r="BI788" s="18"/>
      <c r="BJ788" s="18"/>
      <c r="BK788" s="16">
        <v>1.0699999999999999E-2</v>
      </c>
      <c r="BL788" s="16"/>
      <c r="BM788" s="18"/>
      <c r="BN788" s="16"/>
      <c r="BO788" s="18"/>
      <c r="BP788" s="18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F788" s="16">
        <v>4.82E-2</v>
      </c>
      <c r="CH788" s="44"/>
    </row>
    <row r="789" spans="1:86" x14ac:dyDescent="0.2">
      <c r="A789" s="3" t="s">
        <v>26</v>
      </c>
      <c r="B789" s="39">
        <v>822</v>
      </c>
      <c r="C789" s="82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15"/>
      <c r="O789" s="16"/>
      <c r="P789" s="15"/>
      <c r="Q789" s="15"/>
      <c r="R789" s="1"/>
      <c r="S789" s="1"/>
      <c r="T789" s="1"/>
      <c r="U789" s="1"/>
      <c r="V789" s="1"/>
      <c r="W789" s="5"/>
      <c r="X789" s="1"/>
      <c r="Y789" s="1"/>
      <c r="Z789" s="1"/>
      <c r="AB789" s="5"/>
      <c r="AG789" s="16"/>
      <c r="AK789" s="5"/>
      <c r="AQ789" s="16"/>
      <c r="AU789" s="5"/>
      <c r="BA789" s="16"/>
      <c r="BB789" s="5"/>
      <c r="BC789" s="18"/>
      <c r="BD789" s="5"/>
      <c r="BF789" s="16"/>
      <c r="BG789" s="16"/>
      <c r="BH789" s="18"/>
      <c r="BI789" s="18"/>
      <c r="BJ789" s="18"/>
      <c r="BK789" s="16"/>
      <c r="BL789" s="16"/>
      <c r="BM789" s="18"/>
      <c r="BN789" s="16"/>
      <c r="BO789" s="18"/>
      <c r="BP789" s="18"/>
      <c r="BR789" s="16"/>
      <c r="BS789" s="16"/>
      <c r="BT789" s="16"/>
      <c r="BU789" s="16"/>
      <c r="BV789" s="16"/>
      <c r="BW789" s="16"/>
      <c r="BX789" s="16">
        <v>0.24199999999999999</v>
      </c>
      <c r="BZ789" s="16">
        <v>0.26400000000000001</v>
      </c>
      <c r="CA789" s="16"/>
      <c r="CB789" s="16"/>
      <c r="CC789" s="16"/>
      <c r="CD789" s="16"/>
      <c r="CF789" s="16">
        <v>0.46899999999999997</v>
      </c>
      <c r="CH789" s="44"/>
    </row>
    <row r="790" spans="1:86" x14ac:dyDescent="0.2">
      <c r="A790" s="3" t="s">
        <v>26</v>
      </c>
      <c r="B790" s="39">
        <v>822</v>
      </c>
      <c r="C790" s="82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15"/>
      <c r="O790" s="16"/>
      <c r="P790" s="15"/>
      <c r="Q790" s="15"/>
      <c r="R790" s="1"/>
      <c r="S790" s="1"/>
      <c r="T790" s="1"/>
      <c r="U790" s="1"/>
      <c r="V790" s="1"/>
      <c r="W790" s="5"/>
      <c r="X790" s="1"/>
      <c r="Y790" s="1"/>
      <c r="Z790" s="1"/>
      <c r="AB790" s="5"/>
      <c r="AG790" s="16"/>
      <c r="AK790" s="5"/>
      <c r="AQ790" s="16"/>
      <c r="AU790" s="5"/>
      <c r="BA790" s="16"/>
      <c r="BB790" s="5"/>
      <c r="BC790" s="18"/>
      <c r="BD790" s="5"/>
      <c r="BF790" s="16"/>
      <c r="BG790" s="16"/>
      <c r="BH790" s="18"/>
      <c r="BI790" s="18"/>
      <c r="BJ790" s="18"/>
      <c r="BK790" s="16"/>
      <c r="BL790" s="16"/>
      <c r="BM790" s="18"/>
      <c r="BN790" s="16"/>
      <c r="BO790" s="18"/>
      <c r="BP790" s="18"/>
      <c r="BR790" s="16"/>
      <c r="BS790" s="16"/>
      <c r="BT790" s="16"/>
      <c r="BU790" s="16"/>
      <c r="BV790" s="16"/>
      <c r="BW790" s="16"/>
      <c r="BX790" s="16">
        <v>0.14199999999999999</v>
      </c>
      <c r="BZ790" s="16">
        <v>0.16200000000000001</v>
      </c>
      <c r="CA790" s="16"/>
      <c r="CB790" s="16"/>
      <c r="CC790" s="16"/>
      <c r="CD790" s="16"/>
      <c r="CF790" s="16">
        <v>0.21299999999999999</v>
      </c>
      <c r="CH790" s="44"/>
    </row>
    <row r="791" spans="1:86" x14ac:dyDescent="0.2">
      <c r="A791" s="3" t="s">
        <v>26</v>
      </c>
      <c r="B791" s="39">
        <v>823</v>
      </c>
      <c r="C791" s="82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15"/>
      <c r="O791" s="16"/>
      <c r="P791" s="15"/>
      <c r="Q791" s="15"/>
      <c r="R791" s="1"/>
      <c r="S791" s="1"/>
      <c r="T791" s="1"/>
      <c r="U791" s="1"/>
      <c r="V791" s="1"/>
      <c r="W791" s="5"/>
      <c r="X791" s="1"/>
      <c r="Y791" s="1"/>
      <c r="Z791" s="1"/>
      <c r="AB791" s="5"/>
      <c r="AG791" s="16"/>
      <c r="AK791" s="5"/>
      <c r="AQ791" s="16"/>
      <c r="AR791" s="16">
        <v>0.08</v>
      </c>
      <c r="AU791" s="5"/>
      <c r="BA791" s="16"/>
      <c r="BB791" s="5"/>
      <c r="BC791" s="18"/>
      <c r="BD791" s="5"/>
      <c r="BF791" s="16"/>
      <c r="BG791" s="16"/>
      <c r="BH791" s="18"/>
      <c r="BI791" s="18"/>
      <c r="BJ791" s="18"/>
      <c r="BK791" s="16"/>
      <c r="BL791" s="16"/>
      <c r="BM791" s="18"/>
      <c r="BN791" s="16"/>
      <c r="BO791" s="18"/>
      <c r="BP791" s="16">
        <v>0.124</v>
      </c>
      <c r="BR791" s="16"/>
      <c r="BS791" s="16"/>
      <c r="BT791" s="16"/>
      <c r="BU791" s="16"/>
      <c r="BV791" s="16"/>
      <c r="BW791" s="16"/>
      <c r="BX791" s="16"/>
      <c r="BZ791" s="16"/>
      <c r="CA791" s="16"/>
      <c r="CB791" s="16"/>
      <c r="CC791" s="16"/>
      <c r="CD791" s="16"/>
      <c r="CF791" s="16"/>
      <c r="CH791" s="44"/>
    </row>
    <row r="792" spans="1:86" x14ac:dyDescent="0.2">
      <c r="A792" s="3" t="s">
        <v>26</v>
      </c>
      <c r="B792" s="39">
        <v>823</v>
      </c>
      <c r="C792" s="82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15"/>
      <c r="O792" s="16"/>
      <c r="P792" s="15"/>
      <c r="Q792" s="15"/>
      <c r="R792" s="1"/>
      <c r="S792" s="1"/>
      <c r="T792" s="1"/>
      <c r="U792" s="1"/>
      <c r="V792" s="1"/>
      <c r="W792" s="5"/>
      <c r="X792" s="1"/>
      <c r="Y792" s="1"/>
      <c r="Z792" s="1"/>
      <c r="AB792" s="5"/>
      <c r="AG792" s="16"/>
      <c r="AK792" s="5"/>
      <c r="AQ792" s="16"/>
      <c r="AR792" s="16">
        <v>0.17</v>
      </c>
      <c r="AU792" s="5"/>
      <c r="BA792" s="16"/>
      <c r="BB792" s="5"/>
      <c r="BC792" s="18"/>
      <c r="BD792" s="5"/>
      <c r="BF792" s="16"/>
      <c r="BG792" s="16"/>
      <c r="BH792" s="18"/>
      <c r="BI792" s="18"/>
      <c r="BJ792" s="18"/>
      <c r="BK792" s="16"/>
      <c r="BL792" s="16"/>
      <c r="BM792" s="18"/>
      <c r="BN792" s="16"/>
      <c r="BO792" s="18"/>
      <c r="BP792" s="16">
        <v>0.23599999999999999</v>
      </c>
      <c r="BR792" s="16"/>
      <c r="BS792" s="16"/>
      <c r="BT792" s="16"/>
      <c r="BU792" s="16"/>
      <c r="BV792" s="16"/>
      <c r="BW792" s="16"/>
      <c r="BX792" s="16"/>
      <c r="BZ792" s="16"/>
      <c r="CA792" s="16"/>
      <c r="CB792" s="16"/>
      <c r="CC792" s="16"/>
      <c r="CD792" s="16"/>
      <c r="CF792" s="16"/>
      <c r="CH792" s="44"/>
    </row>
    <row r="793" spans="1:86" x14ac:dyDescent="0.2">
      <c r="A793" s="3" t="s">
        <v>26</v>
      </c>
      <c r="B793" s="39">
        <v>824</v>
      </c>
      <c r="C793" s="82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15"/>
      <c r="O793" s="16"/>
      <c r="P793" s="15"/>
      <c r="Q793" s="15"/>
      <c r="R793" s="1"/>
      <c r="S793" s="1"/>
      <c r="T793" s="1"/>
      <c r="U793" s="1"/>
      <c r="V793" s="1"/>
      <c r="W793" s="5"/>
      <c r="X793" s="1"/>
      <c r="Y793" s="1"/>
      <c r="Z793" s="1"/>
      <c r="AB793" s="5"/>
      <c r="AG793" s="16"/>
      <c r="AK793" s="5"/>
      <c r="AQ793" s="16"/>
      <c r="AR793" s="16"/>
      <c r="AU793" s="5"/>
      <c r="BA793" s="16"/>
      <c r="BB793" s="5"/>
      <c r="BC793" s="18"/>
      <c r="BD793" s="5"/>
      <c r="BF793" s="16"/>
      <c r="BG793" s="16"/>
      <c r="BH793" s="18"/>
      <c r="BI793" s="18"/>
      <c r="BJ793" s="18"/>
      <c r="BK793" s="16"/>
      <c r="BL793" s="16"/>
      <c r="BM793" s="18"/>
      <c r="BN793" s="16"/>
      <c r="BO793" s="18"/>
      <c r="BP793" s="16"/>
      <c r="BR793" s="16"/>
      <c r="BS793" s="16"/>
      <c r="BT793" s="16"/>
      <c r="BU793" s="16"/>
      <c r="BV793" s="16"/>
      <c r="BW793" s="16"/>
      <c r="BX793" s="16">
        <v>5.28E-2</v>
      </c>
      <c r="BZ793" s="16">
        <v>6.08E-2</v>
      </c>
      <c r="CA793" s="16">
        <v>5.8999999999999997E-2</v>
      </c>
      <c r="CB793" s="16">
        <v>6.6000000000000003E-2</v>
      </c>
      <c r="CC793" s="16">
        <v>7.6899999999999996E-2</v>
      </c>
      <c r="CD793" s="16"/>
      <c r="CF793" s="16"/>
      <c r="CH793" s="44"/>
    </row>
    <row r="794" spans="1:86" x14ac:dyDescent="0.2">
      <c r="A794" s="3" t="s">
        <v>26</v>
      </c>
      <c r="B794" s="39">
        <v>824</v>
      </c>
      <c r="C794" s="82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15"/>
      <c r="O794" s="16"/>
      <c r="P794" s="15"/>
      <c r="Q794" s="15"/>
      <c r="R794" s="1"/>
      <c r="S794" s="1"/>
      <c r="T794" s="1"/>
      <c r="U794" s="1"/>
      <c r="V794" s="1"/>
      <c r="W794" s="5"/>
      <c r="X794" s="1"/>
      <c r="Y794" s="1"/>
      <c r="Z794" s="1"/>
      <c r="AB794" s="5"/>
      <c r="AG794" s="16"/>
      <c r="AK794" s="5"/>
      <c r="AQ794" s="16"/>
      <c r="AR794" s="16"/>
      <c r="AU794" s="5"/>
      <c r="BA794" s="16"/>
      <c r="BB794" s="5"/>
      <c r="BC794" s="18"/>
      <c r="BD794" s="5"/>
      <c r="BF794" s="16"/>
      <c r="BG794" s="16"/>
      <c r="BH794" s="18"/>
      <c r="BI794" s="18"/>
      <c r="BJ794" s="18"/>
      <c r="BK794" s="16"/>
      <c r="BL794" s="16"/>
      <c r="BM794" s="18"/>
      <c r="BN794" s="16"/>
      <c r="BO794" s="18"/>
      <c r="BP794" s="16"/>
      <c r="BR794" s="16"/>
      <c r="BS794" s="16"/>
      <c r="BT794" s="16"/>
      <c r="BU794" s="16"/>
      <c r="BV794" s="16"/>
      <c r="BW794" s="16"/>
      <c r="BX794" s="16">
        <v>0.17899999999999999</v>
      </c>
      <c r="BZ794" s="16">
        <v>0.23300000000000001</v>
      </c>
      <c r="CA794" s="16">
        <v>0.22</v>
      </c>
      <c r="CB794" s="16">
        <v>0.26900000000000002</v>
      </c>
      <c r="CC794" s="16">
        <v>0.34399999999999997</v>
      </c>
      <c r="CD794" s="16"/>
      <c r="CF794" s="16"/>
      <c r="CH794" s="44"/>
    </row>
    <row r="795" spans="1:86" x14ac:dyDescent="0.2">
      <c r="A795" s="3" t="s">
        <v>26</v>
      </c>
      <c r="B795" s="39">
        <v>824</v>
      </c>
      <c r="C795" s="82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15"/>
      <c r="O795" s="16"/>
      <c r="P795" s="15"/>
      <c r="Q795" s="15"/>
      <c r="R795" s="1"/>
      <c r="S795" s="1"/>
      <c r="T795" s="1"/>
      <c r="U795" s="1"/>
      <c r="V795" s="1"/>
      <c r="W795" s="5"/>
      <c r="X795" s="1"/>
      <c r="Y795" s="1"/>
      <c r="Z795" s="1"/>
      <c r="AB795" s="5"/>
      <c r="AG795" s="16"/>
      <c r="AK795" s="5"/>
      <c r="AQ795" s="16"/>
      <c r="AR795" s="16"/>
      <c r="AU795" s="5"/>
      <c r="BA795" s="16"/>
      <c r="BB795" s="5"/>
      <c r="BC795" s="18"/>
      <c r="BD795" s="5"/>
      <c r="BF795" s="16"/>
      <c r="BG795" s="16"/>
      <c r="BH795" s="18"/>
      <c r="BI795" s="18"/>
      <c r="BJ795" s="18"/>
      <c r="BK795" s="16"/>
      <c r="BL795" s="16"/>
      <c r="BM795" s="18"/>
      <c r="BN795" s="16"/>
      <c r="BO795" s="18"/>
      <c r="BP795" s="16"/>
      <c r="BR795" s="16"/>
      <c r="BS795" s="16"/>
      <c r="BT795" s="16"/>
      <c r="BU795" s="16"/>
      <c r="BV795" s="16"/>
      <c r="BW795" s="16"/>
      <c r="BX795" s="16">
        <v>6.3E-2</v>
      </c>
      <c r="BZ795" s="16">
        <v>7.2999999999999995E-2</v>
      </c>
      <c r="CA795" s="16">
        <v>7.4999999999999997E-2</v>
      </c>
      <c r="CB795" s="16">
        <v>0.106</v>
      </c>
      <c r="CC795" s="16">
        <v>0.11700000000000001</v>
      </c>
      <c r="CD795" s="16"/>
      <c r="CF795" s="16"/>
      <c r="CH795" s="44"/>
    </row>
    <row r="796" spans="1:86" x14ac:dyDescent="0.2">
      <c r="A796" s="3" t="s">
        <v>26</v>
      </c>
      <c r="B796" s="39">
        <v>825</v>
      </c>
      <c r="C796" s="82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15"/>
      <c r="O796" s="16"/>
      <c r="P796" s="15"/>
      <c r="Q796" s="15"/>
      <c r="R796" s="1"/>
      <c r="S796" s="1"/>
      <c r="T796" s="1"/>
      <c r="U796" s="1"/>
      <c r="V796" s="1"/>
      <c r="W796" s="5"/>
      <c r="X796" s="1"/>
      <c r="Y796" s="1"/>
      <c r="Z796" s="1"/>
      <c r="AB796" s="5"/>
      <c r="AG796" s="16"/>
      <c r="AK796" s="5"/>
      <c r="AQ796" s="16"/>
      <c r="AR796" s="16"/>
      <c r="AU796" s="5"/>
      <c r="BA796" s="16"/>
      <c r="BB796" s="5"/>
      <c r="BC796" s="18"/>
      <c r="BD796" s="5"/>
      <c r="BF796" s="16"/>
      <c r="BG796" s="16"/>
      <c r="BH796" s="18"/>
      <c r="BI796" s="18"/>
      <c r="BJ796" s="18"/>
      <c r="BK796" s="16"/>
      <c r="BL796" s="16"/>
      <c r="BM796" s="18"/>
      <c r="BN796" s="16"/>
      <c r="BO796" s="18"/>
      <c r="BP796" s="16"/>
      <c r="BR796" s="16"/>
      <c r="BS796" s="16">
        <v>5.1200000000000002E-2</v>
      </c>
      <c r="BT796" s="16"/>
      <c r="BU796" s="16"/>
      <c r="BV796" s="16"/>
      <c r="BW796" s="16"/>
      <c r="BX796" s="16"/>
      <c r="BZ796" s="16"/>
      <c r="CA796" s="16"/>
      <c r="CB796" s="16"/>
      <c r="CC796" s="16">
        <v>6.6799999999999998E-2</v>
      </c>
      <c r="CD796" s="16"/>
      <c r="CF796" s="16"/>
      <c r="CH796" s="44"/>
    </row>
    <row r="797" spans="1:86" x14ac:dyDescent="0.2">
      <c r="A797" s="3" t="s">
        <v>26</v>
      </c>
      <c r="B797" s="39">
        <v>826</v>
      </c>
      <c r="C797" s="82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15"/>
      <c r="O797" s="16"/>
      <c r="P797" s="15"/>
      <c r="Q797" s="15"/>
      <c r="R797" s="1"/>
      <c r="S797" s="1"/>
      <c r="T797" s="1"/>
      <c r="U797" s="1"/>
      <c r="V797" s="1"/>
      <c r="W797" s="5"/>
      <c r="X797" s="1"/>
      <c r="Y797" s="1"/>
      <c r="Z797" s="1"/>
      <c r="AB797" s="5"/>
      <c r="AG797" s="16"/>
      <c r="AK797" s="5"/>
      <c r="AQ797" s="16"/>
      <c r="AR797" s="16"/>
      <c r="AU797" s="5"/>
      <c r="BA797" s="16"/>
      <c r="BB797" s="5"/>
      <c r="BC797" s="18"/>
      <c r="BD797" s="5"/>
      <c r="BF797" s="16"/>
      <c r="BG797" s="16"/>
      <c r="BH797" s="18"/>
      <c r="BI797" s="18"/>
      <c r="BJ797" s="18"/>
      <c r="BK797" s="16"/>
      <c r="BL797" s="16"/>
      <c r="BM797" s="18"/>
      <c r="BN797" s="16"/>
      <c r="BO797" s="18"/>
      <c r="BP797" s="16"/>
      <c r="BR797" s="16"/>
      <c r="BS797" s="16"/>
      <c r="BT797" s="16"/>
      <c r="BU797" s="16"/>
      <c r="BV797" s="16"/>
      <c r="BW797" s="16">
        <v>0.34100000000000003</v>
      </c>
      <c r="BX797" s="16"/>
      <c r="BZ797" s="16"/>
      <c r="CA797" s="16"/>
      <c r="CB797" s="16"/>
      <c r="CC797" s="16">
        <v>0.44</v>
      </c>
      <c r="CD797" s="16"/>
      <c r="CF797" s="16"/>
      <c r="CH797" s="44"/>
    </row>
    <row r="798" spans="1:86" x14ac:dyDescent="0.2">
      <c r="A798" s="3" t="s">
        <v>26</v>
      </c>
      <c r="B798" s="39">
        <v>827</v>
      </c>
      <c r="C798" s="82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15"/>
      <c r="O798" s="16"/>
      <c r="P798" s="15"/>
      <c r="Q798" s="15"/>
      <c r="R798" s="1"/>
      <c r="S798" s="1"/>
      <c r="T798" s="1"/>
      <c r="U798" s="1"/>
      <c r="V798" s="1"/>
      <c r="W798" s="5"/>
      <c r="X798" s="1"/>
      <c r="Y798" s="1"/>
      <c r="Z798" s="1"/>
      <c r="AB798" s="5"/>
      <c r="AG798" s="16"/>
      <c r="AK798" s="5"/>
      <c r="AQ798" s="16"/>
      <c r="AR798" s="16"/>
      <c r="AU798" s="5"/>
      <c r="BA798" s="16"/>
      <c r="BB798" s="5"/>
      <c r="BC798" s="18"/>
      <c r="BD798" s="5"/>
      <c r="BF798" s="16"/>
      <c r="BG798" s="16"/>
      <c r="BH798" s="18"/>
      <c r="BI798" s="18"/>
      <c r="BJ798" s="18"/>
      <c r="BK798" s="16"/>
      <c r="BL798" s="16"/>
      <c r="BM798" s="18"/>
      <c r="BN798" s="16"/>
      <c r="BO798" s="18"/>
      <c r="BP798" s="16"/>
      <c r="BR798" s="16"/>
      <c r="BS798" s="16"/>
      <c r="BT798" s="16"/>
      <c r="BU798" s="16"/>
      <c r="BV798" s="16"/>
      <c r="BW798" s="16"/>
      <c r="BX798" s="16">
        <v>0.155</v>
      </c>
      <c r="BZ798" s="16"/>
      <c r="CA798" s="16"/>
      <c r="CB798" s="16"/>
      <c r="CC798" s="16"/>
      <c r="CD798" s="16"/>
      <c r="CF798" s="16">
        <v>0.19700000000000001</v>
      </c>
      <c r="CH798" s="44"/>
    </row>
    <row r="799" spans="1:86" s="46" customFormat="1" x14ac:dyDescent="0.2">
      <c r="A799" s="38" t="s">
        <v>26</v>
      </c>
      <c r="B799" s="40">
        <v>827</v>
      </c>
      <c r="C799" s="83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67"/>
      <c r="O799" s="63"/>
      <c r="P799" s="67"/>
      <c r="Q799" s="67"/>
      <c r="R799" s="53"/>
      <c r="S799" s="53"/>
      <c r="T799" s="53"/>
      <c r="U799" s="53"/>
      <c r="V799" s="53"/>
      <c r="W799" s="48"/>
      <c r="X799" s="53"/>
      <c r="Y799" s="53"/>
      <c r="Z799" s="53"/>
      <c r="AB799" s="48"/>
      <c r="AG799" s="63"/>
      <c r="AK799" s="48"/>
      <c r="AQ799" s="63"/>
      <c r="AR799" s="63"/>
      <c r="AU799" s="48"/>
      <c r="BA799" s="63"/>
      <c r="BB799" s="48"/>
      <c r="BC799" s="68"/>
      <c r="BD799" s="48"/>
      <c r="BF799" s="63"/>
      <c r="BG799" s="63"/>
      <c r="BH799" s="68"/>
      <c r="BI799" s="68"/>
      <c r="BJ799" s="68"/>
      <c r="BK799" s="63"/>
      <c r="BL799" s="63"/>
      <c r="BM799" s="68"/>
      <c r="BN799" s="63"/>
      <c r="BO799" s="68"/>
      <c r="BP799" s="63"/>
      <c r="BR799" s="63"/>
      <c r="BS799" s="63"/>
      <c r="BT799" s="63"/>
      <c r="BU799" s="63"/>
      <c r="BV799" s="63"/>
      <c r="BW799" s="63"/>
      <c r="BX799" s="63">
        <v>0.06</v>
      </c>
      <c r="BZ799" s="63"/>
      <c r="CA799" s="63"/>
      <c r="CB799" s="63"/>
      <c r="CC799" s="63"/>
      <c r="CD799" s="63"/>
      <c r="CF799" s="63">
        <v>5.5E-2</v>
      </c>
      <c r="CH799" s="51"/>
    </row>
    <row r="800" spans="1:86" x14ac:dyDescent="0.2">
      <c r="A800" s="3" t="s">
        <v>27</v>
      </c>
      <c r="B800" s="39">
        <v>828</v>
      </c>
      <c r="C800" s="82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AQ800" s="16">
        <f>4/10000</f>
        <v>4.0000000000000002E-4</v>
      </c>
      <c r="AU800" s="16">
        <f>7.5/10000</f>
        <v>7.5000000000000002E-4</v>
      </c>
      <c r="AY800" s="16">
        <f>11.6/10000</f>
        <v>1.16E-3</v>
      </c>
      <c r="BC800" s="5"/>
      <c r="BL800" s="5"/>
      <c r="BP800"/>
      <c r="BR800"/>
      <c r="BS800"/>
      <c r="CH800" s="44"/>
    </row>
    <row r="801" spans="1:86" x14ac:dyDescent="0.2">
      <c r="A801" s="3" t="s">
        <v>27</v>
      </c>
      <c r="B801" s="39">
        <v>829</v>
      </c>
      <c r="C801" s="82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AQ801" s="5"/>
      <c r="AT801" s="16">
        <f>3.8/10000</f>
        <v>3.7999999999999997E-4</v>
      </c>
      <c r="BD801" s="16">
        <f>8.6/10000</f>
        <v>8.5999999999999998E-4</v>
      </c>
      <c r="BH801" s="5"/>
      <c r="BK801" s="5"/>
      <c r="BN801" s="5"/>
      <c r="BP801"/>
      <c r="BQ801" s="5"/>
      <c r="BR801"/>
      <c r="BS801"/>
      <c r="BT801" s="5"/>
      <c r="BW801" s="5"/>
      <c r="CH801" s="44"/>
    </row>
    <row r="802" spans="1:86" x14ac:dyDescent="0.2">
      <c r="A802" s="3" t="s">
        <v>27</v>
      </c>
      <c r="B802" s="39">
        <v>829</v>
      </c>
      <c r="C802" s="82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AQ802" s="5"/>
      <c r="AT802" s="16">
        <f>4.2/10000</f>
        <v>4.2000000000000002E-4</v>
      </c>
      <c r="BD802" s="16">
        <f>13.2/10000</f>
        <v>1.32E-3</v>
      </c>
      <c r="BL802" s="5"/>
      <c r="BP802"/>
      <c r="BQ802" s="5"/>
      <c r="BR802"/>
      <c r="BS802"/>
      <c r="BV802" s="5"/>
      <c r="CA802" s="5"/>
      <c r="CC802" s="5"/>
      <c r="CH802" s="44"/>
    </row>
    <row r="803" spans="1:86" x14ac:dyDescent="0.2">
      <c r="A803" s="3" t="s">
        <v>27</v>
      </c>
      <c r="B803" s="39">
        <v>830</v>
      </c>
      <c r="C803" s="82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AQ803" s="5"/>
      <c r="AX803" s="16">
        <f>5.8/10000</f>
        <v>5.8E-4</v>
      </c>
      <c r="BE803" s="16">
        <f>14.9/10000</f>
        <v>1.49E-3</v>
      </c>
      <c r="BL803" s="5"/>
      <c r="BP803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C803" s="5"/>
      <c r="CH803" s="44"/>
    </row>
    <row r="804" spans="1:86" x14ac:dyDescent="0.2">
      <c r="A804" s="3" t="s">
        <v>27</v>
      </c>
      <c r="B804" s="39">
        <v>831</v>
      </c>
      <c r="C804" s="82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AQ804" s="5"/>
      <c r="AX804" s="16">
        <f>2/10000</f>
        <v>2.0000000000000001E-4</v>
      </c>
      <c r="BE804" s="16">
        <f>27/10000</f>
        <v>2.7000000000000001E-3</v>
      </c>
      <c r="BG804" s="5"/>
      <c r="BI804" s="5"/>
      <c r="BL804" s="5"/>
      <c r="BN804" s="5"/>
      <c r="BP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C804" s="5"/>
      <c r="CH804" s="44"/>
    </row>
    <row r="805" spans="1:86" x14ac:dyDescent="0.2">
      <c r="A805" s="3" t="s">
        <v>27</v>
      </c>
      <c r="B805" s="39">
        <v>832</v>
      </c>
      <c r="C805" s="82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AG805" s="16">
        <f>2/10000</f>
        <v>2.0000000000000001E-4</v>
      </c>
      <c r="AJ805" s="16">
        <f>1.9/10000</f>
        <v>1.8999999999999998E-4</v>
      </c>
      <c r="AM805" s="16">
        <f>2.5/10000</f>
        <v>2.5000000000000001E-4</v>
      </c>
      <c r="AQ805" s="5"/>
      <c r="BE805" s="5"/>
      <c r="BG805" s="5"/>
      <c r="BI805" s="5"/>
      <c r="BK805" s="5"/>
      <c r="BP805" s="5"/>
      <c r="BR805"/>
      <c r="BS805" s="5"/>
      <c r="BT805" s="5"/>
      <c r="BU805" s="5"/>
      <c r="BW805" s="5"/>
      <c r="BX805" s="5"/>
      <c r="BY805" s="5"/>
      <c r="BZ805" s="5"/>
      <c r="CA805" s="5"/>
      <c r="CC805" s="5"/>
      <c r="CH805" s="44"/>
    </row>
    <row r="806" spans="1:86" x14ac:dyDescent="0.2">
      <c r="A806" s="3" t="s">
        <v>27</v>
      </c>
      <c r="B806" s="39">
        <v>833</v>
      </c>
      <c r="C806" s="82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AQ806" s="5"/>
      <c r="BE806" s="5"/>
      <c r="BF806" s="16">
        <f>16.8/10000</f>
        <v>1.6800000000000001E-3</v>
      </c>
      <c r="BG806" s="5"/>
      <c r="BI806" s="16">
        <f>22/10000</f>
        <v>2.2000000000000001E-3</v>
      </c>
      <c r="BK806" s="5"/>
      <c r="BP806" s="5"/>
      <c r="BR806"/>
      <c r="BS806" s="5"/>
      <c r="BT806" s="5"/>
      <c r="BU806" s="5"/>
      <c r="BW806" s="5"/>
      <c r="BX806" s="5"/>
      <c r="BY806" s="5"/>
      <c r="BZ806" s="5"/>
      <c r="CA806" s="5"/>
      <c r="CC806" s="5"/>
      <c r="CH806" s="44"/>
    </row>
    <row r="807" spans="1:86" x14ac:dyDescent="0.2">
      <c r="A807" s="3" t="s">
        <v>27</v>
      </c>
      <c r="B807" s="39">
        <v>834</v>
      </c>
      <c r="C807" s="82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AQ807" s="5"/>
      <c r="AS807" s="16">
        <f>3.5/10000</f>
        <v>3.5E-4</v>
      </c>
      <c r="AU807" s="16">
        <f>5.3/10000</f>
        <v>5.2999999999999998E-4</v>
      </c>
      <c r="AW807" s="16">
        <f>7.8/10000</f>
        <v>7.7999999999999999E-4</v>
      </c>
      <c r="AY807" s="16">
        <f>11.8/10000</f>
        <v>1.1800000000000001E-3</v>
      </c>
      <c r="BA807" s="16">
        <f>18.3/10000</f>
        <v>1.83E-3</v>
      </c>
      <c r="BE807" s="5"/>
      <c r="BG807" s="5"/>
      <c r="BI807" s="5"/>
      <c r="BK807" s="5"/>
      <c r="BP807" s="5"/>
      <c r="BR807"/>
      <c r="BS807" s="5"/>
      <c r="BT807" s="5"/>
      <c r="BU807" s="5"/>
      <c r="BW807" s="5"/>
      <c r="BX807" s="5"/>
      <c r="BY807" s="5"/>
      <c r="BZ807" s="5"/>
      <c r="CA807" s="5"/>
      <c r="CC807" s="5"/>
      <c r="CH807" s="44"/>
    </row>
    <row r="808" spans="1:86" x14ac:dyDescent="0.2">
      <c r="A808" s="3" t="s">
        <v>27</v>
      </c>
      <c r="B808" s="39">
        <v>834</v>
      </c>
      <c r="C808" s="82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AQ808" s="5"/>
      <c r="AW808" s="16">
        <f>4.6/10000</f>
        <v>4.5999999999999996E-4</v>
      </c>
      <c r="AY808" s="16">
        <f>7.2/10000</f>
        <v>7.2000000000000005E-4</v>
      </c>
      <c r="BA808" s="16">
        <f>11.5/10000</f>
        <v>1.15E-3</v>
      </c>
      <c r="BC808" s="16">
        <f>19.1/10000</f>
        <v>1.9100000000000002E-3</v>
      </c>
      <c r="BE808" s="16">
        <f>24.1/10000</f>
        <v>2.4100000000000002E-3</v>
      </c>
      <c r="BG808" s="5"/>
      <c r="BI808" s="5"/>
      <c r="BJ808" s="5"/>
      <c r="BK808" s="5"/>
      <c r="BP808" s="5"/>
      <c r="BR808"/>
      <c r="BS808" s="5"/>
      <c r="BT808" s="5"/>
      <c r="BU808" s="5"/>
      <c r="BW808" s="5"/>
      <c r="BX808" s="5"/>
      <c r="BY808" s="5"/>
      <c r="BZ808" s="5"/>
      <c r="CA808" s="5"/>
      <c r="CC808" s="5"/>
      <c r="CH808" s="44"/>
    </row>
    <row r="809" spans="1:86" x14ac:dyDescent="0.2">
      <c r="A809" s="3" t="s">
        <v>27</v>
      </c>
      <c r="B809" s="39">
        <v>835</v>
      </c>
      <c r="C809" s="82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AQ809" s="5"/>
      <c r="AS809" s="16">
        <f>26.3/10000</f>
        <v>2.63E-3</v>
      </c>
      <c r="AY809" s="16">
        <f>61.4/10000</f>
        <v>6.1399999999999996E-3</v>
      </c>
      <c r="BE809" s="16">
        <f>80.4/10000</f>
        <v>8.0400000000000003E-3</v>
      </c>
      <c r="BG809" s="5"/>
      <c r="BI809" s="5"/>
      <c r="BJ809" s="5"/>
      <c r="BK809" s="5"/>
      <c r="BP809" s="5"/>
      <c r="BR809"/>
      <c r="BS809" s="5"/>
      <c r="BT809" s="5"/>
      <c r="BU809" s="5"/>
      <c r="BW809" s="5"/>
      <c r="BX809" s="5"/>
      <c r="BY809" s="5"/>
      <c r="BZ809" s="5"/>
      <c r="CA809" s="5"/>
      <c r="CC809" s="5"/>
      <c r="CH809" s="44"/>
    </row>
    <row r="810" spans="1:86" x14ac:dyDescent="0.2">
      <c r="A810" s="3" t="s">
        <v>27</v>
      </c>
      <c r="B810" s="39">
        <v>836</v>
      </c>
      <c r="C810" s="82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AQ810" s="5"/>
      <c r="AS810" s="16"/>
      <c r="AY810" s="16"/>
      <c r="BE810" s="16"/>
      <c r="BF810" s="16">
        <f>20.7/10000</f>
        <v>2.0699999999999998E-3</v>
      </c>
      <c r="BG810" s="5"/>
      <c r="BH810" s="16">
        <f>21.2/10000</f>
        <v>2.1199999999999999E-3</v>
      </c>
      <c r="BI810" s="5"/>
      <c r="BJ810" s="16">
        <f>26.4/10000</f>
        <v>2.64E-3</v>
      </c>
      <c r="BK810" s="5"/>
      <c r="BP810" s="5"/>
      <c r="BR810"/>
      <c r="BS810" s="5"/>
      <c r="BT810" s="5"/>
      <c r="BU810" s="5"/>
      <c r="BW810" s="5"/>
      <c r="BX810" s="5"/>
      <c r="BY810" s="5"/>
      <c r="BZ810" s="5"/>
      <c r="CA810" s="5"/>
      <c r="CC810" s="5"/>
      <c r="CH810" s="44"/>
    </row>
    <row r="811" spans="1:86" x14ac:dyDescent="0.2">
      <c r="A811" s="3" t="s">
        <v>27</v>
      </c>
      <c r="B811" s="39">
        <v>837</v>
      </c>
      <c r="C811" s="82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AQ811" s="5"/>
      <c r="AS811" s="16"/>
      <c r="AY811" s="16"/>
      <c r="BE811" s="16"/>
      <c r="BF811" s="16"/>
      <c r="BG811" s="16">
        <f>12.3/10000</f>
        <v>1.23E-3</v>
      </c>
      <c r="BH811" s="16"/>
      <c r="BI811" s="5"/>
      <c r="BJ811" s="16"/>
      <c r="BK811" s="5"/>
      <c r="BO811" s="16">
        <f>43.1/10000</f>
        <v>4.3100000000000005E-3</v>
      </c>
      <c r="BP811" s="5"/>
      <c r="BR811"/>
      <c r="BS811" s="5"/>
      <c r="BT811" s="5"/>
      <c r="BU811" s="5"/>
      <c r="BW811" s="5"/>
      <c r="BX811" s="5"/>
      <c r="BY811" s="5"/>
      <c r="BZ811" s="5"/>
      <c r="CA811" s="5"/>
      <c r="CC811" s="5"/>
      <c r="CH811" s="44"/>
    </row>
    <row r="812" spans="1:86" x14ac:dyDescent="0.2">
      <c r="A812" s="3" t="s">
        <v>27</v>
      </c>
      <c r="B812" s="39">
        <v>838</v>
      </c>
      <c r="C812" s="82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AQ812" s="5"/>
      <c r="AS812" s="16"/>
      <c r="AY812" s="16"/>
      <c r="BE812" s="16"/>
      <c r="BF812" s="16"/>
      <c r="BG812" s="16"/>
      <c r="BH812" s="16"/>
      <c r="BI812" s="5"/>
      <c r="BJ812" s="16"/>
      <c r="BK812" s="16">
        <f>7.8/1000</f>
        <v>7.7999999999999996E-3</v>
      </c>
      <c r="BM812" s="16">
        <f>6.6/1000</f>
        <v>6.6E-3</v>
      </c>
      <c r="BO812" s="16">
        <f>9.8/1000</f>
        <v>9.8000000000000014E-3</v>
      </c>
      <c r="BP812" s="5"/>
      <c r="BR812"/>
      <c r="BS812" s="5"/>
      <c r="BT812" s="5"/>
      <c r="BU812" s="5"/>
      <c r="BW812" s="5"/>
      <c r="BX812" s="5"/>
      <c r="BY812" s="5"/>
      <c r="BZ812" s="5"/>
      <c r="CA812" s="5"/>
      <c r="CC812" s="5"/>
      <c r="CH812" s="44"/>
    </row>
    <row r="813" spans="1:86" x14ac:dyDescent="0.2">
      <c r="A813" s="3" t="s">
        <v>27</v>
      </c>
      <c r="B813" s="39">
        <v>838</v>
      </c>
      <c r="C813" s="82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AQ813" s="5"/>
      <c r="AS813" s="16"/>
      <c r="AY813" s="16"/>
      <c r="BE813" s="16"/>
      <c r="BF813" s="16"/>
      <c r="BG813" s="16"/>
      <c r="BH813" s="16"/>
      <c r="BI813" s="5"/>
      <c r="BJ813" s="16"/>
      <c r="BK813" s="16">
        <f>6.5/1000</f>
        <v>6.4999999999999997E-3</v>
      </c>
      <c r="BM813" s="16">
        <f>7.5/1000</f>
        <v>7.4999999999999997E-3</v>
      </c>
      <c r="BO813" s="16">
        <f>9/1000</f>
        <v>8.9999999999999993E-3</v>
      </c>
      <c r="BP813" s="5"/>
      <c r="BR813"/>
      <c r="BS813" s="5"/>
      <c r="BT813" s="5"/>
      <c r="BU813" s="5"/>
      <c r="BW813" s="5"/>
      <c r="BX813" s="5"/>
      <c r="BY813" s="5"/>
      <c r="BZ813" s="5"/>
      <c r="CA813" s="5"/>
      <c r="CC813" s="5"/>
      <c r="CH813" s="44"/>
    </row>
    <row r="814" spans="1:86" x14ac:dyDescent="0.2">
      <c r="A814" s="3" t="s">
        <v>27</v>
      </c>
      <c r="B814" s="39">
        <v>838</v>
      </c>
      <c r="C814" s="82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AQ814" s="5"/>
      <c r="AS814" s="16"/>
      <c r="AY814" s="16"/>
      <c r="BE814" s="16"/>
      <c r="BF814" s="16"/>
      <c r="BG814" s="16"/>
      <c r="BH814" s="16"/>
      <c r="BI814" s="5"/>
      <c r="BJ814" s="16"/>
      <c r="BK814" s="16">
        <f>5/1000</f>
        <v>5.0000000000000001E-3</v>
      </c>
      <c r="BM814" s="16">
        <f>6.6/1000</f>
        <v>6.6E-3</v>
      </c>
      <c r="BO814" s="16">
        <f>8.6/1000</f>
        <v>8.6E-3</v>
      </c>
      <c r="BP814" s="5"/>
      <c r="BR814"/>
      <c r="BS814" s="5"/>
      <c r="BT814" s="5"/>
      <c r="BU814" s="5"/>
      <c r="BW814" s="5"/>
      <c r="BX814" s="5"/>
      <c r="BY814" s="5"/>
      <c r="BZ814" s="5"/>
      <c r="CA814" s="5"/>
      <c r="CC814" s="5"/>
      <c r="CH814" s="44"/>
    </row>
    <row r="815" spans="1:86" x14ac:dyDescent="0.2">
      <c r="A815" s="3" t="s">
        <v>27</v>
      </c>
      <c r="B815" s="39">
        <v>838</v>
      </c>
      <c r="C815" s="82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AQ815" s="5"/>
      <c r="AS815" s="16"/>
      <c r="AY815" s="16"/>
      <c r="BE815" s="16"/>
      <c r="BF815" s="16"/>
      <c r="BG815" s="16"/>
      <c r="BH815" s="16"/>
      <c r="BI815" s="5"/>
      <c r="BJ815" s="16"/>
      <c r="BK815" s="16">
        <f>6.4/1000</f>
        <v>6.4000000000000003E-3</v>
      </c>
      <c r="BM815" s="16">
        <f>6/1000</f>
        <v>6.0000000000000001E-3</v>
      </c>
      <c r="BO815" s="16">
        <f>5.3/1000</f>
        <v>5.3E-3</v>
      </c>
      <c r="BP815" s="5"/>
      <c r="BR815"/>
      <c r="BS815" s="5"/>
      <c r="BT815" s="5"/>
      <c r="BU815" s="5"/>
      <c r="BW815" s="5"/>
      <c r="BX815" s="5"/>
      <c r="BY815" s="5"/>
      <c r="BZ815" s="5"/>
      <c r="CA815" s="5"/>
      <c r="CC815" s="5"/>
      <c r="CH815" s="44"/>
    </row>
    <row r="816" spans="1:86" x14ac:dyDescent="0.2">
      <c r="A816" s="3" t="s">
        <v>27</v>
      </c>
      <c r="B816" s="39">
        <v>839</v>
      </c>
      <c r="C816" s="82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AQ816" s="5"/>
      <c r="AS816" s="16"/>
      <c r="AY816" s="16"/>
      <c r="AZ816" s="16">
        <f>0.5/1000</f>
        <v>5.0000000000000001E-4</v>
      </c>
      <c r="BE816" s="16"/>
      <c r="BF816" s="16"/>
      <c r="BG816" s="16"/>
      <c r="BH816" s="16"/>
      <c r="BI816" s="16"/>
      <c r="BJ816" s="16"/>
      <c r="BK816" s="16"/>
      <c r="BM816" s="16">
        <f>3.5/1000</f>
        <v>3.5000000000000001E-3</v>
      </c>
      <c r="BO816" s="16"/>
      <c r="BP816" s="5"/>
      <c r="BR816"/>
      <c r="BS816" s="5"/>
      <c r="BT816" s="5"/>
      <c r="BU816" s="5"/>
      <c r="BW816" s="5"/>
      <c r="BX816" s="5"/>
      <c r="BY816" s="5"/>
      <c r="BZ816" s="5"/>
      <c r="CA816" s="5"/>
      <c r="CC816" s="5"/>
      <c r="CH816" s="44"/>
    </row>
    <row r="817" spans="1:86" x14ac:dyDescent="0.2">
      <c r="A817" s="3" t="s">
        <v>27</v>
      </c>
      <c r="B817" s="39">
        <v>839</v>
      </c>
      <c r="C817" s="82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AQ817" s="5"/>
      <c r="AS817" s="16"/>
      <c r="AY817" s="16"/>
      <c r="AZ817" s="16">
        <f>0.6/1000</f>
        <v>5.9999999999999995E-4</v>
      </c>
      <c r="BE817" s="16"/>
      <c r="BF817" s="16"/>
      <c r="BG817" s="16"/>
      <c r="BH817" s="16"/>
      <c r="BI817" s="16"/>
      <c r="BJ817" s="16"/>
      <c r="BK817" s="16"/>
      <c r="BL817" s="16">
        <f>4/1000</f>
        <v>4.0000000000000001E-3</v>
      </c>
      <c r="BM817" s="16"/>
      <c r="BO817" s="16"/>
      <c r="BP817" s="5"/>
      <c r="BR817"/>
      <c r="BS817" s="5"/>
      <c r="BT817" s="5"/>
      <c r="BU817" s="5"/>
      <c r="BW817" s="5"/>
      <c r="BX817" s="5"/>
      <c r="BY817" s="5"/>
      <c r="BZ817" s="5"/>
      <c r="CA817" s="5"/>
      <c r="CC817" s="5"/>
      <c r="CH817" s="44"/>
    </row>
    <row r="818" spans="1:86" x14ac:dyDescent="0.2">
      <c r="A818" s="3" t="s">
        <v>27</v>
      </c>
      <c r="B818" s="39">
        <v>839</v>
      </c>
      <c r="C818" s="82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AQ818" s="5"/>
      <c r="AS818" s="16"/>
      <c r="AY818" s="16"/>
      <c r="AZ818" s="16">
        <f>0.6/1000</f>
        <v>5.9999999999999995E-4</v>
      </c>
      <c r="BE818" s="16"/>
      <c r="BF818" s="16"/>
      <c r="BG818" s="16"/>
      <c r="BH818" s="16"/>
      <c r="BI818" s="16"/>
      <c r="BK818" s="16">
        <f>4.5/1000</f>
        <v>4.4999999999999997E-3</v>
      </c>
      <c r="BM818" s="16"/>
      <c r="BO818" s="16"/>
      <c r="BP818" s="5"/>
      <c r="BR818"/>
      <c r="BS818" s="5"/>
      <c r="BT818" s="5"/>
      <c r="BU818" s="5"/>
      <c r="BW818" s="5"/>
      <c r="BX818" s="5"/>
      <c r="BY818" s="5"/>
      <c r="BZ818" s="5"/>
      <c r="CA818" s="5"/>
      <c r="CC818" s="5"/>
      <c r="CH818" s="44"/>
    </row>
    <row r="819" spans="1:86" x14ac:dyDescent="0.2">
      <c r="A819" s="3" t="s">
        <v>27</v>
      </c>
      <c r="B819" s="39">
        <v>839</v>
      </c>
      <c r="C819" s="82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AQ819" s="5"/>
      <c r="AS819" s="16"/>
      <c r="AY819" s="16"/>
      <c r="AZ819" s="16">
        <f>0.7/1000</f>
        <v>6.9999999999999999E-4</v>
      </c>
      <c r="BE819" s="16"/>
      <c r="BF819" s="16"/>
      <c r="BG819" s="16"/>
      <c r="BH819" s="16"/>
      <c r="BI819" s="16"/>
      <c r="BJ819" s="16">
        <f>4/1000</f>
        <v>4.0000000000000001E-3</v>
      </c>
      <c r="BK819" s="16"/>
      <c r="BM819" s="16"/>
      <c r="BO819" s="16"/>
      <c r="BP819" s="5"/>
      <c r="BR819"/>
      <c r="BS819" s="5"/>
      <c r="BT819" s="5"/>
      <c r="BU819" s="5"/>
      <c r="BW819" s="5"/>
      <c r="BX819" s="5"/>
      <c r="BY819" s="5"/>
      <c r="BZ819" s="5"/>
      <c r="CA819" s="5"/>
      <c r="CC819" s="5"/>
      <c r="CH819" s="44"/>
    </row>
    <row r="820" spans="1:86" x14ac:dyDescent="0.2">
      <c r="A820" s="3" t="s">
        <v>27</v>
      </c>
      <c r="B820" s="39">
        <v>839</v>
      </c>
      <c r="C820" s="82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AQ820" s="5"/>
      <c r="AS820" s="16"/>
      <c r="AY820" s="16"/>
      <c r="AZ820" s="16">
        <f>0.7/1000</f>
        <v>6.9999999999999999E-4</v>
      </c>
      <c r="BE820" s="16"/>
      <c r="BF820" s="16"/>
      <c r="BG820" s="16"/>
      <c r="BH820" s="16"/>
      <c r="BI820" s="16">
        <f>3.9/1000</f>
        <v>3.8999999999999998E-3</v>
      </c>
      <c r="BJ820" s="16"/>
      <c r="BK820" s="16"/>
      <c r="BM820" s="16"/>
      <c r="BO820" s="16"/>
      <c r="BP820" s="5"/>
      <c r="BR820"/>
      <c r="BS820" s="5"/>
      <c r="BT820" s="5"/>
      <c r="BU820" s="5"/>
      <c r="BW820" s="5"/>
      <c r="BX820" s="5"/>
      <c r="BY820" s="5"/>
      <c r="BZ820" s="5"/>
      <c r="CA820" s="5"/>
      <c r="CC820" s="5"/>
      <c r="CH820" s="44"/>
    </row>
    <row r="821" spans="1:86" x14ac:dyDescent="0.2">
      <c r="A821" s="3" t="s">
        <v>27</v>
      </c>
      <c r="B821" s="39">
        <v>839</v>
      </c>
      <c r="C821" s="82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AQ821" s="5"/>
      <c r="AS821" s="16"/>
      <c r="AY821" s="16"/>
      <c r="AZ821" s="16">
        <f>0.7/1000</f>
        <v>6.9999999999999999E-4</v>
      </c>
      <c r="BE821" s="16"/>
      <c r="BF821" s="16"/>
      <c r="BG821" s="16"/>
      <c r="BH821" s="16">
        <f>3.2/1000</f>
        <v>3.2000000000000002E-3</v>
      </c>
      <c r="BI821" s="16"/>
      <c r="BJ821" s="16"/>
      <c r="BK821" s="16"/>
      <c r="BM821" s="16"/>
      <c r="BO821" s="16"/>
      <c r="BP821" s="5"/>
      <c r="BR821"/>
      <c r="BS821" s="5"/>
      <c r="BT821" s="5"/>
      <c r="BU821" s="5"/>
      <c r="BW821" s="5"/>
      <c r="BX821" s="5"/>
      <c r="BY821" s="5"/>
      <c r="BZ821" s="5"/>
      <c r="CA821" s="5"/>
      <c r="CC821" s="5"/>
      <c r="CH821" s="44"/>
    </row>
    <row r="822" spans="1:86" x14ac:dyDescent="0.2">
      <c r="A822" s="3" t="s">
        <v>27</v>
      </c>
      <c r="B822" s="39">
        <v>839</v>
      </c>
      <c r="C822" s="82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AQ822" s="5"/>
      <c r="AS822" s="16"/>
      <c r="AY822" s="16"/>
      <c r="AZ822" s="16">
        <f>0.8/1000</f>
        <v>8.0000000000000004E-4</v>
      </c>
      <c r="BE822" s="16">
        <f>2.8/1000</f>
        <v>2.8E-3</v>
      </c>
      <c r="BF822" s="16"/>
      <c r="BG822" s="16"/>
      <c r="BH822" s="16"/>
      <c r="BI822" s="5"/>
      <c r="BJ822" s="16"/>
      <c r="BK822" s="16"/>
      <c r="BM822" s="16"/>
      <c r="BO822" s="16"/>
      <c r="BP822" s="5"/>
      <c r="BR822"/>
      <c r="BS822" s="5"/>
      <c r="BT822" s="5"/>
      <c r="BU822" s="5"/>
      <c r="BW822" s="5"/>
      <c r="BX822" s="5"/>
      <c r="BY822" s="5"/>
      <c r="BZ822" s="5"/>
      <c r="CA822" s="5"/>
      <c r="CC822" s="5"/>
      <c r="CH822" s="44"/>
    </row>
    <row r="823" spans="1:86" x14ac:dyDescent="0.2">
      <c r="A823" s="3" t="s">
        <v>27</v>
      </c>
      <c r="B823" s="39">
        <v>839</v>
      </c>
      <c r="C823" s="82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AQ823" s="5"/>
      <c r="AS823" s="16"/>
      <c r="AY823" s="16"/>
      <c r="AZ823" s="16">
        <f>0.9/1000</f>
        <v>8.9999999999999998E-4</v>
      </c>
      <c r="BD823" s="16">
        <f>2.3/1000</f>
        <v>2.3E-3</v>
      </c>
      <c r="BE823" s="16"/>
      <c r="BF823" s="16"/>
      <c r="BG823" s="16"/>
      <c r="BH823" s="16"/>
      <c r="BI823" s="5"/>
      <c r="BJ823" s="16"/>
      <c r="BK823" s="16"/>
      <c r="BM823" s="16"/>
      <c r="BO823" s="16"/>
      <c r="BP823" s="5"/>
      <c r="BR823"/>
      <c r="BS823" s="5"/>
      <c r="BT823" s="5"/>
      <c r="BU823" s="5"/>
      <c r="BW823" s="5"/>
      <c r="BX823" s="5"/>
      <c r="BY823" s="5"/>
      <c r="BZ823" s="5"/>
      <c r="CA823" s="5"/>
      <c r="CC823" s="5"/>
      <c r="CH823" s="44"/>
    </row>
    <row r="824" spans="1:86" x14ac:dyDescent="0.2">
      <c r="A824" s="3" t="s">
        <v>27</v>
      </c>
      <c r="B824" s="39">
        <v>839</v>
      </c>
      <c r="C824" s="82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AQ824" s="5"/>
      <c r="AS824" s="16"/>
      <c r="AY824" s="16"/>
      <c r="AZ824" s="16">
        <f>1/1000</f>
        <v>1E-3</v>
      </c>
      <c r="BE824" s="16">
        <f>2.8/1000</f>
        <v>2.8E-3</v>
      </c>
      <c r="BF824" s="16"/>
      <c r="BG824" s="16"/>
      <c r="BH824" s="16"/>
      <c r="BI824" s="5"/>
      <c r="BJ824" s="16"/>
      <c r="BK824" s="16"/>
      <c r="BM824" s="16"/>
      <c r="BO824" s="16"/>
      <c r="BP824" s="5"/>
      <c r="BR824"/>
      <c r="BS824" s="5"/>
      <c r="BT824" s="5"/>
      <c r="BU824" s="5"/>
      <c r="BW824" s="5"/>
      <c r="BX824" s="5"/>
      <c r="BY824" s="5"/>
      <c r="BZ824" s="5"/>
      <c r="CA824" s="5"/>
      <c r="CC824" s="5"/>
      <c r="CH824" s="44"/>
    </row>
    <row r="825" spans="1:86" x14ac:dyDescent="0.2">
      <c r="A825" s="3" t="s">
        <v>27</v>
      </c>
      <c r="B825" s="39">
        <v>840</v>
      </c>
      <c r="C825" s="82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AQ825" s="5"/>
      <c r="AS825" s="16"/>
      <c r="AY825" s="16"/>
      <c r="AZ825" s="16"/>
      <c r="BE825" s="16"/>
      <c r="BF825" s="16"/>
      <c r="BG825" s="16"/>
      <c r="BH825" s="16"/>
      <c r="BI825" s="5"/>
      <c r="BJ825" s="16"/>
      <c r="BK825" s="16"/>
      <c r="BM825" s="16"/>
      <c r="BO825" s="16">
        <f>3.58/1000</f>
        <v>3.5800000000000003E-3</v>
      </c>
      <c r="BP825" s="16">
        <f>3.72/1000</f>
        <v>3.7200000000000002E-3</v>
      </c>
      <c r="BQ825" s="16">
        <f>3.86/1000</f>
        <v>3.8599999999999997E-3</v>
      </c>
      <c r="BR825" s="16">
        <f>3.79/1000</f>
        <v>3.79E-3</v>
      </c>
      <c r="BS825" s="16">
        <f>3.91/1000</f>
        <v>3.9100000000000003E-3</v>
      </c>
      <c r="BT825" s="16">
        <f>4.09/1000</f>
        <v>4.0899999999999999E-3</v>
      </c>
      <c r="BU825" s="16">
        <f>3.9/1000</f>
        <v>3.8999999999999998E-3</v>
      </c>
      <c r="BW825" s="5"/>
      <c r="BX825" s="5"/>
      <c r="BY825" s="5"/>
      <c r="BZ825" s="5"/>
      <c r="CA825" s="5"/>
      <c r="CC825" s="5"/>
      <c r="CH825" s="44"/>
    </row>
    <row r="826" spans="1:86" x14ac:dyDescent="0.2">
      <c r="A826" s="3" t="s">
        <v>27</v>
      </c>
      <c r="B826" s="39">
        <v>840</v>
      </c>
      <c r="C826" s="82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AQ826" s="5"/>
      <c r="AS826" s="16"/>
      <c r="AY826" s="16"/>
      <c r="AZ826" s="16"/>
      <c r="BE826" s="16"/>
      <c r="BF826" s="16"/>
      <c r="BG826" s="16"/>
      <c r="BH826" s="16"/>
      <c r="BI826" s="5"/>
      <c r="BJ826" s="16"/>
      <c r="BK826" s="16"/>
      <c r="BM826" s="16"/>
      <c r="BO826" s="16">
        <f>0.8/1000</f>
        <v>8.0000000000000004E-4</v>
      </c>
      <c r="BP826" s="16">
        <f>0.83/1000</f>
        <v>8.3000000000000001E-4</v>
      </c>
      <c r="BQ826" s="16">
        <f>0.81/1000</f>
        <v>8.1000000000000006E-4</v>
      </c>
      <c r="BR826" s="16">
        <f>0.93/1000</f>
        <v>9.3000000000000005E-4</v>
      </c>
      <c r="BS826" s="16">
        <f>0.82/1000</f>
        <v>8.1999999999999998E-4</v>
      </c>
      <c r="BT826" s="16">
        <f>0.81/1000</f>
        <v>8.1000000000000006E-4</v>
      </c>
      <c r="BU826" s="16">
        <f>0.81/1000</f>
        <v>8.1000000000000006E-4</v>
      </c>
      <c r="BW826" s="5"/>
      <c r="BX826" s="5"/>
      <c r="BY826" s="5"/>
      <c r="BZ826" s="5"/>
      <c r="CA826" s="5"/>
      <c r="CC826" s="5"/>
      <c r="CH826" s="44"/>
    </row>
    <row r="827" spans="1:86" x14ac:dyDescent="0.2">
      <c r="A827" s="3" t="s">
        <v>27</v>
      </c>
      <c r="B827" s="39">
        <v>841</v>
      </c>
      <c r="C827" s="82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AQ827" s="5"/>
      <c r="AS827" s="16"/>
      <c r="AY827" s="16"/>
      <c r="AZ827" s="16"/>
      <c r="BE827" s="16"/>
      <c r="BF827" s="16"/>
      <c r="BG827" s="16"/>
      <c r="BH827" s="16"/>
      <c r="BI827" s="5"/>
      <c r="BJ827" s="16"/>
      <c r="BK827" s="16"/>
      <c r="BM827" s="16">
        <f>10.8/1000</f>
        <v>1.0800000000000001E-2</v>
      </c>
      <c r="BO827" s="16"/>
      <c r="BP827" s="16"/>
      <c r="BQ827" s="16">
        <f>17.4/1000</f>
        <v>1.7399999999999999E-2</v>
      </c>
      <c r="BR827" s="16"/>
      <c r="BS827" s="16"/>
      <c r="BT827" s="16"/>
      <c r="BU827" s="16"/>
      <c r="BW827" s="5"/>
      <c r="BX827" s="5"/>
      <c r="BY827" s="5"/>
      <c r="BZ827" s="5"/>
      <c r="CA827" s="5"/>
      <c r="CC827" s="5"/>
      <c r="CH827" s="44"/>
    </row>
    <row r="828" spans="1:86" x14ac:dyDescent="0.2">
      <c r="A828" s="3" t="s">
        <v>27</v>
      </c>
      <c r="B828" s="39">
        <v>842</v>
      </c>
      <c r="C828" s="82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AQ828" s="5"/>
      <c r="AS828" s="16"/>
      <c r="AY828" s="16"/>
      <c r="AZ828" s="16"/>
      <c r="BE828" s="16"/>
      <c r="BF828" s="16"/>
      <c r="BG828" s="16"/>
      <c r="BH828" s="16"/>
      <c r="BI828" s="5"/>
      <c r="BJ828" s="16"/>
      <c r="BK828" s="16"/>
      <c r="BM828" s="16"/>
      <c r="BN828" s="16">
        <f>45.6/10000</f>
        <v>4.5599999999999998E-3</v>
      </c>
      <c r="BO828" s="16">
        <f>46.7/10000</f>
        <v>4.6700000000000005E-3</v>
      </c>
      <c r="BP828" s="16">
        <f>54.1/10000</f>
        <v>5.4099999999999999E-3</v>
      </c>
      <c r="BQ828" s="16">
        <f>65.1/10000</f>
        <v>6.5099999999999993E-3</v>
      </c>
      <c r="BR828" s="16">
        <f>77.1/10000</f>
        <v>7.7099999999999998E-3</v>
      </c>
      <c r="BS828" s="16">
        <f>83/10000</f>
        <v>8.3000000000000001E-3</v>
      </c>
      <c r="BT828" s="16"/>
      <c r="BU828" s="16"/>
      <c r="BW828" s="5"/>
      <c r="BX828" s="5"/>
      <c r="BY828" s="5"/>
      <c r="BZ828" s="5"/>
      <c r="CA828" s="5"/>
      <c r="CC828" s="5"/>
      <c r="CH828" s="44"/>
    </row>
    <row r="829" spans="1:86" x14ac:dyDescent="0.2">
      <c r="A829" s="3" t="s">
        <v>27</v>
      </c>
      <c r="B829" s="39">
        <v>842</v>
      </c>
      <c r="C829" s="82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AQ829" s="5"/>
      <c r="AS829" s="16"/>
      <c r="AY829" s="16"/>
      <c r="AZ829" s="16"/>
      <c r="BE829" s="16"/>
      <c r="BF829" s="16"/>
      <c r="BG829" s="16"/>
      <c r="BH829" s="16"/>
      <c r="BI829" s="5"/>
      <c r="BJ829" s="16"/>
      <c r="BK829" s="16"/>
      <c r="BM829" s="16"/>
      <c r="BN829" s="16">
        <f>47.2/10000</f>
        <v>4.7200000000000002E-3</v>
      </c>
      <c r="BO829" s="16">
        <f>50.2/10000</f>
        <v>5.0200000000000002E-3</v>
      </c>
      <c r="BP829" s="16">
        <f>53.7/10000</f>
        <v>5.3700000000000006E-3</v>
      </c>
      <c r="BQ829" s="16">
        <f>56.9/10000</f>
        <v>5.6899999999999997E-3</v>
      </c>
      <c r="BR829" s="16">
        <f>57.3/10000</f>
        <v>5.7299999999999999E-3</v>
      </c>
      <c r="BS829" s="16">
        <f>59.5/10000</f>
        <v>5.9500000000000004E-3</v>
      </c>
      <c r="BT829" s="16">
        <f>76.7/10000</f>
        <v>7.6700000000000006E-3</v>
      </c>
      <c r="BU829" s="16">
        <f>90.6/10000</f>
        <v>9.0599999999999986E-3</v>
      </c>
      <c r="BW829" s="5"/>
      <c r="BX829" s="5"/>
      <c r="BY829" s="5"/>
      <c r="BZ829" s="5"/>
      <c r="CA829" s="5"/>
      <c r="CC829" s="5"/>
      <c r="CH829" s="44"/>
    </row>
    <row r="830" spans="1:86" x14ac:dyDescent="0.2">
      <c r="A830" s="3" t="s">
        <v>27</v>
      </c>
      <c r="B830" s="39">
        <v>842</v>
      </c>
      <c r="C830" s="82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AQ830" s="5"/>
      <c r="AS830" s="16"/>
      <c r="AY830" s="16"/>
      <c r="AZ830" s="16"/>
      <c r="BE830" s="16"/>
      <c r="BF830" s="16"/>
      <c r="BG830" s="16"/>
      <c r="BH830" s="16"/>
      <c r="BI830" s="5"/>
      <c r="BJ830" s="16"/>
      <c r="BK830" s="16"/>
      <c r="BM830" s="16"/>
      <c r="BN830" s="16">
        <f>52.7/10000</f>
        <v>5.2700000000000004E-3</v>
      </c>
      <c r="BO830" s="16">
        <f>62/10000</f>
        <v>6.1999999999999998E-3</v>
      </c>
      <c r="BP830" s="16">
        <f>69.1/10000</f>
        <v>6.9099999999999995E-3</v>
      </c>
      <c r="BQ830" s="16">
        <f>82.3/10000</f>
        <v>8.2299999999999995E-3</v>
      </c>
      <c r="BR830" s="16">
        <f>90.3/10000</f>
        <v>9.0299999999999998E-3</v>
      </c>
      <c r="BS830" s="16">
        <f>108.6/10000</f>
        <v>1.086E-2</v>
      </c>
      <c r="BT830" s="16">
        <f>119.2/10000</f>
        <v>1.192E-2</v>
      </c>
      <c r="BU830" s="16">
        <f>129.2/10000</f>
        <v>1.2919999999999999E-2</v>
      </c>
      <c r="BW830" s="5"/>
      <c r="BX830" s="5"/>
      <c r="BY830" s="5"/>
      <c r="BZ830" s="5"/>
      <c r="CA830" s="5"/>
      <c r="CC830" s="5"/>
      <c r="CH830" s="44"/>
    </row>
    <row r="831" spans="1:86" x14ac:dyDescent="0.2">
      <c r="A831" s="3" t="s">
        <v>27</v>
      </c>
      <c r="B831" s="39">
        <v>843</v>
      </c>
      <c r="C831" s="82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AQ831" s="5"/>
      <c r="AS831" s="16"/>
      <c r="AY831" s="16"/>
      <c r="AZ831" s="16"/>
      <c r="BD831" s="16">
        <v>2.3E-3</v>
      </c>
      <c r="BE831" s="16">
        <v>3.0000000000000001E-3</v>
      </c>
      <c r="BF831" s="16">
        <v>3.2000000000000002E-3</v>
      </c>
      <c r="BG831" s="16">
        <v>3.8999999999999998E-3</v>
      </c>
      <c r="BH831" s="16">
        <v>4.4999999999999997E-3</v>
      </c>
      <c r="BI831" s="16">
        <v>4.7000000000000002E-3</v>
      </c>
      <c r="BJ831" s="16">
        <v>6.0000000000000001E-3</v>
      </c>
      <c r="BK831" s="16">
        <v>6.0000000000000001E-3</v>
      </c>
      <c r="BL831" s="16">
        <v>5.3E-3</v>
      </c>
      <c r="BM831" s="16">
        <v>5.0000000000000001E-3</v>
      </c>
      <c r="BN831" s="16"/>
      <c r="BO831" s="16"/>
      <c r="BP831" s="16"/>
      <c r="BQ831" s="16"/>
      <c r="BR831" s="16"/>
      <c r="BS831" s="16"/>
      <c r="BT831" s="16"/>
      <c r="BU831" s="16"/>
      <c r="BW831" s="5"/>
      <c r="BX831" s="5"/>
      <c r="BY831" s="5"/>
      <c r="BZ831" s="5"/>
      <c r="CA831" s="5"/>
      <c r="CC831" s="5"/>
      <c r="CH831" s="44"/>
    </row>
    <row r="832" spans="1:86" x14ac:dyDescent="0.2">
      <c r="A832" s="3" t="s">
        <v>27</v>
      </c>
      <c r="B832" s="39">
        <v>844</v>
      </c>
      <c r="C832" s="82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AQ832" s="5"/>
      <c r="AS832" s="16"/>
      <c r="AY832" s="16"/>
      <c r="AZ832" s="16"/>
      <c r="BD832" s="16"/>
      <c r="BE832" s="16"/>
      <c r="BF832" s="16"/>
      <c r="BG832" s="16"/>
      <c r="BH832" s="16"/>
      <c r="BI832" s="16"/>
      <c r="BJ832" s="16"/>
      <c r="BK832" s="16"/>
      <c r="BL832" s="16">
        <v>4.1999999999999997E-3</v>
      </c>
      <c r="BM832" s="16"/>
      <c r="BN832" s="16"/>
      <c r="BO832" s="16"/>
      <c r="BP832" s="16"/>
      <c r="BQ832" s="16"/>
      <c r="BR832" s="16"/>
      <c r="BS832" s="16"/>
      <c r="BT832" s="16"/>
      <c r="BU832" s="16"/>
      <c r="BV832" s="16">
        <v>1.44E-2</v>
      </c>
      <c r="BW832" s="5"/>
      <c r="BX832" s="5"/>
      <c r="BY832" s="5"/>
      <c r="BZ832" s="5"/>
      <c r="CA832" s="5"/>
      <c r="CC832" s="5"/>
      <c r="CH832" s="44"/>
    </row>
    <row r="833" spans="1:86" x14ac:dyDescent="0.2">
      <c r="A833" s="3" t="s">
        <v>27</v>
      </c>
      <c r="B833" s="39">
        <v>845</v>
      </c>
      <c r="C833" s="82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AQ833" s="5"/>
      <c r="AS833" s="16"/>
      <c r="AY833" s="16"/>
      <c r="AZ833" s="16"/>
      <c r="BD833" s="16"/>
      <c r="BE833" s="16"/>
      <c r="BF833" s="16"/>
      <c r="BG833" s="16"/>
      <c r="BH833" s="16">
        <f>26.2/10000</f>
        <v>2.6199999999999999E-3</v>
      </c>
      <c r="BI833" s="16">
        <f>33.9/10000</f>
        <v>3.3899999999999998E-3</v>
      </c>
      <c r="BJ833" s="16">
        <f>32.7/10000</f>
        <v>3.2700000000000003E-3</v>
      </c>
      <c r="BK833" s="16">
        <f>38.8/10000</f>
        <v>3.8799999999999998E-3</v>
      </c>
      <c r="BL833" s="16">
        <f>41.2/10000</f>
        <v>4.1200000000000004E-3</v>
      </c>
      <c r="BM833" s="16">
        <f>40.5/10000</f>
        <v>4.0499999999999998E-3</v>
      </c>
      <c r="BN833" s="16">
        <f>41.3/10000</f>
        <v>4.13E-3</v>
      </c>
      <c r="BO833" s="16"/>
      <c r="BP833" s="16"/>
      <c r="BQ833" s="16"/>
      <c r="BR833" s="16"/>
      <c r="BS833" s="16"/>
      <c r="BT833" s="16"/>
      <c r="BU833" s="16"/>
      <c r="BV833" s="16"/>
      <c r="BW833" s="5"/>
      <c r="BX833" s="5"/>
      <c r="BY833" s="5"/>
      <c r="BZ833" s="5"/>
      <c r="CA833" s="5"/>
      <c r="CC833" s="5"/>
      <c r="CH833" s="44"/>
    </row>
    <row r="834" spans="1:86" x14ac:dyDescent="0.2">
      <c r="A834" s="3" t="s">
        <v>27</v>
      </c>
      <c r="B834" s="39">
        <v>846</v>
      </c>
      <c r="C834" s="82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AQ834" s="5"/>
      <c r="AS834" s="16"/>
      <c r="AY834" s="16"/>
      <c r="AZ834" s="16"/>
      <c r="BD834" s="16"/>
      <c r="BE834" s="16"/>
      <c r="BF834" s="16"/>
      <c r="BG834" s="16"/>
      <c r="BH834" s="16"/>
      <c r="BI834" s="16"/>
      <c r="BJ834" s="16"/>
      <c r="BK834" s="16">
        <f>1/150</f>
        <v>6.6666666666666671E-3</v>
      </c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5"/>
      <c r="BX834" s="5"/>
      <c r="BY834" s="16">
        <f>1/60</f>
        <v>1.6666666666666666E-2</v>
      </c>
      <c r="BZ834" s="5"/>
      <c r="CA834" s="16">
        <f>1/54</f>
        <v>1.8518518518518517E-2</v>
      </c>
      <c r="CC834" s="5"/>
      <c r="CH834" s="44"/>
    </row>
    <row r="835" spans="1:86" x14ac:dyDescent="0.2">
      <c r="A835" s="3" t="s">
        <v>27</v>
      </c>
      <c r="B835" s="39">
        <v>847</v>
      </c>
      <c r="C835" s="82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AQ835" s="5"/>
      <c r="AS835" s="16"/>
      <c r="AY835" s="16"/>
      <c r="AZ835" s="16"/>
      <c r="BD835" s="16"/>
      <c r="BE835" s="16"/>
      <c r="BF835" s="16"/>
      <c r="BG835" s="16"/>
      <c r="BH835" s="16"/>
      <c r="BI835" s="16"/>
      <c r="BJ835" s="16"/>
      <c r="BK835" s="16">
        <f>1/150</f>
        <v>6.6666666666666671E-3</v>
      </c>
      <c r="BL835" s="16"/>
      <c r="BM835" s="16">
        <f>1/150</f>
        <v>6.6666666666666671E-3</v>
      </c>
      <c r="BN835" s="16"/>
      <c r="BO835" s="16"/>
      <c r="BP835" s="16"/>
      <c r="BQ835" s="16">
        <f>1/110</f>
        <v>9.0909090909090905E-3</v>
      </c>
      <c r="BR835" s="16"/>
      <c r="BS835" s="16">
        <f>1/88</f>
        <v>1.1363636363636364E-2</v>
      </c>
      <c r="BT835" s="16"/>
      <c r="BU835" s="16">
        <f>1/68</f>
        <v>1.4705882352941176E-2</v>
      </c>
      <c r="BV835" s="16"/>
      <c r="BW835" s="16">
        <f>1/68</f>
        <v>1.4705882352941176E-2</v>
      </c>
      <c r="BX835" s="5"/>
      <c r="BY835" s="16">
        <f>1/59</f>
        <v>1.6949152542372881E-2</v>
      </c>
      <c r="BZ835" s="5"/>
      <c r="CA835" s="16">
        <f>1/54</f>
        <v>1.8518518518518517E-2</v>
      </c>
      <c r="CC835" s="5"/>
      <c r="CH835" s="44"/>
    </row>
    <row r="836" spans="1:86" x14ac:dyDescent="0.2">
      <c r="A836" s="3" t="s">
        <v>27</v>
      </c>
      <c r="B836" s="39">
        <v>847</v>
      </c>
      <c r="C836" s="82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AQ836" s="5"/>
      <c r="AS836" s="16"/>
      <c r="AY836" s="16"/>
      <c r="AZ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>
        <f>1/73</f>
        <v>1.3698630136986301E-2</v>
      </c>
      <c r="BV836" s="16"/>
      <c r="BW836" s="16">
        <f>1/65</f>
        <v>1.5384615384615385E-2</v>
      </c>
      <c r="BX836" s="5"/>
      <c r="BY836" s="16">
        <f>1/59</f>
        <v>1.6949152542372881E-2</v>
      </c>
      <c r="BZ836" s="5"/>
      <c r="CA836" s="16">
        <f>1/64</f>
        <v>1.5625E-2</v>
      </c>
      <c r="CC836" s="5"/>
      <c r="CH836" s="44"/>
    </row>
    <row r="837" spans="1:86" x14ac:dyDescent="0.2">
      <c r="A837" s="3" t="s">
        <v>27</v>
      </c>
      <c r="B837" s="39">
        <v>848</v>
      </c>
      <c r="C837" s="82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AQ837" s="5"/>
      <c r="AS837" s="16"/>
      <c r="AY837" s="16"/>
      <c r="AZ837" s="16"/>
      <c r="BD837" s="16"/>
      <c r="BE837" s="16"/>
      <c r="BF837" s="16"/>
      <c r="BG837" s="16"/>
      <c r="BH837" s="16"/>
      <c r="BI837" s="16"/>
      <c r="BJ837" s="16"/>
      <c r="BK837" s="16"/>
      <c r="BL837" s="16">
        <f>0.324/1000</f>
        <v>3.2400000000000001E-4</v>
      </c>
      <c r="BM837" s="16">
        <f>0.622/1000</f>
        <v>6.2200000000000005E-4</v>
      </c>
      <c r="BN837" s="16">
        <f>1.041/1000</f>
        <v>1.0409999999999998E-3</v>
      </c>
      <c r="BO837" s="16">
        <f>1.392/1000</f>
        <v>1.392E-3</v>
      </c>
      <c r="BP837" s="16">
        <f>1.761/1000</f>
        <v>1.761E-3</v>
      </c>
      <c r="BQ837" s="16">
        <f>2.099/1000</f>
        <v>2.0990000000000002E-3</v>
      </c>
      <c r="BR837" s="16">
        <f>2.501/1000</f>
        <v>2.5009999999999998E-3</v>
      </c>
      <c r="BS837" s="16">
        <f>2.863/1000</f>
        <v>2.8630000000000001E-3</v>
      </c>
      <c r="BT837" s="16">
        <f>3.297/1000</f>
        <v>3.297E-3</v>
      </c>
      <c r="BU837" s="16">
        <f>3.762/1000</f>
        <v>3.7620000000000002E-3</v>
      </c>
      <c r="BV837" s="16">
        <f>4.273/1000</f>
        <v>4.2729999999999999E-3</v>
      </c>
      <c r="BW837" s="16">
        <f>4.847/1000</f>
        <v>4.8470000000000006E-3</v>
      </c>
      <c r="BX837" s="16">
        <f>5.514/1000</f>
        <v>5.5139999999999998E-3</v>
      </c>
      <c r="BY837" s="16">
        <f>6.255/1000</f>
        <v>6.2550000000000001E-3</v>
      </c>
      <c r="BZ837" s="16">
        <f>7.051/1000</f>
        <v>7.051E-3</v>
      </c>
      <c r="CA837" s="16">
        <f>7.995/1000</f>
        <v>7.9950000000000004E-3</v>
      </c>
      <c r="CC837" s="5"/>
      <c r="CH837" s="44"/>
    </row>
    <row r="838" spans="1:86" x14ac:dyDescent="0.2">
      <c r="A838" s="3" t="s">
        <v>27</v>
      </c>
      <c r="B838" s="39">
        <v>849</v>
      </c>
      <c r="C838" s="82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AQ838" s="5"/>
      <c r="AS838" s="16"/>
      <c r="AY838" s="16"/>
      <c r="AZ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C838" s="5"/>
      <c r="CD838" s="16">
        <v>2.7900000000000001E-2</v>
      </c>
      <c r="CE838" s="16">
        <v>3.49E-2</v>
      </c>
      <c r="CH838" s="44"/>
    </row>
    <row r="839" spans="1:86" x14ac:dyDescent="0.2">
      <c r="A839" s="3" t="s">
        <v>27</v>
      </c>
      <c r="B839" s="39">
        <v>850</v>
      </c>
      <c r="C839" s="82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AQ839" s="5"/>
      <c r="AS839" s="16"/>
      <c r="AY839" s="16"/>
      <c r="AZ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>
        <v>6.1999999999999998E-3</v>
      </c>
      <c r="BX839" s="16"/>
      <c r="BY839" s="16"/>
      <c r="BZ839" s="16"/>
      <c r="CA839" s="16"/>
      <c r="CC839" s="16">
        <v>2.2700000000000001E-2</v>
      </c>
      <c r="CD839" s="16"/>
      <c r="CE839" s="16"/>
      <c r="CH839" s="44"/>
    </row>
    <row r="840" spans="1:86" x14ac:dyDescent="0.2">
      <c r="A840" s="3" t="s">
        <v>27</v>
      </c>
      <c r="B840" s="39">
        <v>851</v>
      </c>
      <c r="C840" s="82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AQ840" s="5"/>
      <c r="AS840" s="16"/>
      <c r="AY840" s="16"/>
      <c r="AZ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>
        <v>4.8999999999999998E-3</v>
      </c>
      <c r="CC840" s="16">
        <v>5.8999999999999999E-3</v>
      </c>
      <c r="CD840" s="16">
        <v>7.3000000000000001E-3</v>
      </c>
      <c r="CE840" s="16">
        <v>8.6E-3</v>
      </c>
      <c r="CF840" s="16">
        <v>9.5999999999999992E-3</v>
      </c>
      <c r="CH840" s="44"/>
    </row>
    <row r="841" spans="1:86" x14ac:dyDescent="0.2">
      <c r="A841" s="3" t="s">
        <v>27</v>
      </c>
      <c r="B841" s="39">
        <v>851</v>
      </c>
      <c r="C841" s="82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AQ841" s="5"/>
      <c r="AS841" s="16"/>
      <c r="AY841" s="16"/>
      <c r="AZ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>
        <v>4.7999999999999996E-3</v>
      </c>
      <c r="CC841" s="16">
        <v>5.7000000000000002E-3</v>
      </c>
      <c r="CD841" s="16">
        <v>6.7000000000000002E-3</v>
      </c>
      <c r="CE841" s="16">
        <v>7.6E-3</v>
      </c>
      <c r="CF841" s="16">
        <v>8.8999999999999999E-3</v>
      </c>
      <c r="CH841" s="44"/>
    </row>
    <row r="842" spans="1:86" x14ac:dyDescent="0.2">
      <c r="A842" s="3" t="s">
        <v>27</v>
      </c>
      <c r="B842" s="39">
        <v>792</v>
      </c>
      <c r="C842" s="82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AQ842" s="5"/>
      <c r="AS842" s="16"/>
      <c r="AY842" s="16"/>
      <c r="AZ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>
        <v>1.0999999999999999E-2</v>
      </c>
      <c r="BW842" s="16"/>
      <c r="BX842" s="16"/>
      <c r="BY842" s="16"/>
      <c r="BZ842" s="16"/>
      <c r="CA842" s="16"/>
      <c r="CB842" s="16">
        <v>2.5000000000000001E-2</v>
      </c>
      <c r="CC842" s="16"/>
      <c r="CD842" s="16"/>
      <c r="CE842" s="16"/>
      <c r="CF842" s="16"/>
      <c r="CH842" s="44"/>
    </row>
    <row r="843" spans="1:86" s="46" customFormat="1" x14ac:dyDescent="0.2">
      <c r="A843" s="38" t="s">
        <v>27</v>
      </c>
      <c r="B843" s="40">
        <v>852</v>
      </c>
      <c r="C843" s="83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AQ843" s="48"/>
      <c r="AS843" s="63"/>
      <c r="AY843" s="63"/>
      <c r="AZ843" s="63"/>
      <c r="BD843" s="63"/>
      <c r="BE843" s="63"/>
      <c r="BF843" s="63"/>
      <c r="BG843" s="63">
        <v>2.0000000000000001E-4</v>
      </c>
      <c r="BH843" s="63"/>
      <c r="BI843" s="63"/>
      <c r="BJ843" s="63"/>
      <c r="BK843" s="63"/>
      <c r="BL843" s="63"/>
      <c r="BM843" s="63"/>
      <c r="BN843" s="63"/>
      <c r="BO843" s="63"/>
      <c r="BP843" s="63"/>
      <c r="BQ843" s="63">
        <v>8.9999999999999998E-4</v>
      </c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  <c r="CB843" s="63"/>
      <c r="CC843" s="63"/>
      <c r="CD843" s="63"/>
      <c r="CE843" s="63"/>
      <c r="CF843" s="63"/>
      <c r="CH843" s="51"/>
    </row>
    <row r="844" spans="1:86" x14ac:dyDescent="0.2">
      <c r="A844" s="3" t="s">
        <v>28</v>
      </c>
      <c r="B844" s="39">
        <v>853</v>
      </c>
      <c r="C844" s="82"/>
      <c r="AQ844" s="16"/>
      <c r="AU844" s="16"/>
      <c r="AY844" s="16"/>
      <c r="BC844" s="5"/>
      <c r="BF844" s="16">
        <f>25/100000</f>
        <v>2.5000000000000001E-4</v>
      </c>
      <c r="BL844" s="5"/>
      <c r="BN844" s="16">
        <f>1003/100000</f>
        <v>1.0030000000000001E-2</v>
      </c>
      <c r="BP844"/>
      <c r="BR844"/>
      <c r="BS844"/>
      <c r="CH844" s="44"/>
    </row>
    <row r="845" spans="1:86" x14ac:dyDescent="0.2">
      <c r="A845" s="3" t="s">
        <v>28</v>
      </c>
      <c r="B845" s="39">
        <v>853</v>
      </c>
      <c r="C845" s="82"/>
      <c r="AQ845" s="5"/>
      <c r="AT845" s="16"/>
      <c r="BD845" s="16"/>
      <c r="BF845" s="16">
        <f>905/100000</f>
        <v>9.0500000000000008E-3</v>
      </c>
      <c r="BH845" s="5"/>
      <c r="BK845" s="5"/>
      <c r="BN845" s="16">
        <f>1679/100000</f>
        <v>1.6789999999999999E-2</v>
      </c>
      <c r="BP845"/>
      <c r="BQ845" s="5"/>
      <c r="BR845"/>
      <c r="BS845"/>
      <c r="BT845" s="5"/>
      <c r="BW845" s="5"/>
      <c r="CH845" s="44"/>
    </row>
    <row r="846" spans="1:86" x14ac:dyDescent="0.2">
      <c r="A846" s="3" t="s">
        <v>28</v>
      </c>
      <c r="B846" s="39">
        <v>854</v>
      </c>
      <c r="C846" s="82"/>
      <c r="AQ846" s="5"/>
      <c r="AT846" s="16"/>
      <c r="BD846" s="16"/>
      <c r="BF846" s="16"/>
      <c r="BG846" s="16">
        <f>1.3/10000</f>
        <v>1.3000000000000002E-4</v>
      </c>
      <c r="BH846" s="5"/>
      <c r="BK846" s="5"/>
      <c r="BN846" s="16"/>
      <c r="BO846" s="16">
        <f>7.3/10000</f>
        <v>7.2999999999999996E-4</v>
      </c>
      <c r="BP846"/>
      <c r="BQ846" s="5"/>
      <c r="BR846"/>
      <c r="BS846"/>
      <c r="BT846" s="5"/>
      <c r="BW846" s="5"/>
      <c r="CH846" s="44"/>
    </row>
    <row r="847" spans="1:86" x14ac:dyDescent="0.2">
      <c r="A847" s="3" t="s">
        <v>28</v>
      </c>
      <c r="B847" s="39">
        <v>854</v>
      </c>
      <c r="C847" s="82"/>
      <c r="AQ847" s="5"/>
      <c r="AT847" s="16"/>
      <c r="BD847" s="16"/>
      <c r="BF847" s="16"/>
      <c r="BG847" s="16">
        <f>5.1/10000</f>
        <v>5.0999999999999993E-4</v>
      </c>
      <c r="BH847" s="5"/>
      <c r="BK847" s="5"/>
      <c r="BN847" s="16"/>
      <c r="BO847" s="16">
        <f>20.4/10000</f>
        <v>2.0399999999999997E-3</v>
      </c>
      <c r="BP847"/>
      <c r="BQ847" s="5"/>
      <c r="BR847"/>
      <c r="BS847"/>
      <c r="BT847" s="5"/>
      <c r="BW847" s="5"/>
      <c r="CH847" s="44"/>
    </row>
    <row r="848" spans="1:86" x14ac:dyDescent="0.2">
      <c r="A848" s="3" t="s">
        <v>28</v>
      </c>
      <c r="B848" s="39">
        <v>854</v>
      </c>
      <c r="C848" s="82"/>
      <c r="AQ848" s="5"/>
      <c r="AT848" s="16"/>
      <c r="BD848" s="16"/>
      <c r="BF848" s="16"/>
      <c r="BG848" s="16">
        <f>10.4/10000</f>
        <v>1.0400000000000001E-3</v>
      </c>
      <c r="BH848" s="5"/>
      <c r="BK848" s="5"/>
      <c r="BN848" s="16"/>
      <c r="BO848" s="16">
        <f>16.2/10000</f>
        <v>1.6199999999999999E-3</v>
      </c>
      <c r="BP848"/>
      <c r="BQ848" s="5"/>
      <c r="BR848"/>
      <c r="BS848"/>
      <c r="BT848" s="5"/>
      <c r="BW848" s="5"/>
      <c r="CH848" s="44"/>
    </row>
    <row r="849" spans="1:86" x14ac:dyDescent="0.2">
      <c r="A849" s="3" t="s">
        <v>28</v>
      </c>
      <c r="B849" s="39">
        <v>855</v>
      </c>
      <c r="C849" s="82"/>
      <c r="AQ849" s="5"/>
      <c r="AT849" s="16"/>
      <c r="BD849" s="16"/>
      <c r="BF849" s="16"/>
      <c r="BG849" s="16"/>
      <c r="BH849" s="5"/>
      <c r="BI849" s="16">
        <v>5.0000000000000001E-3</v>
      </c>
      <c r="BK849" s="5"/>
      <c r="BN849" s="16"/>
      <c r="BO849" s="16">
        <v>0.01</v>
      </c>
      <c r="BP849"/>
      <c r="BQ849" s="5"/>
      <c r="BR849"/>
      <c r="BS849" s="16">
        <v>1.4999999999999999E-2</v>
      </c>
      <c r="BT849" s="5"/>
      <c r="BW849" s="5"/>
      <c r="CH849" s="44"/>
    </row>
    <row r="850" spans="1:86" x14ac:dyDescent="0.2">
      <c r="A850" s="3" t="s">
        <v>28</v>
      </c>
      <c r="B850" s="39">
        <v>856</v>
      </c>
      <c r="C850" s="82"/>
      <c r="AQ850" s="5"/>
      <c r="AT850" s="16"/>
      <c r="BD850" s="16"/>
      <c r="BF850" s="16"/>
      <c r="BG850" s="16"/>
      <c r="BH850" s="5"/>
      <c r="BI850" s="16"/>
      <c r="BK850" s="5"/>
      <c r="BN850" s="16">
        <f>11.6/10000</f>
        <v>1.16E-3</v>
      </c>
      <c r="BO850" s="16">
        <f>11.2/10000</f>
        <v>1.1199999999999999E-3</v>
      </c>
      <c r="BP850" s="16">
        <f>11.3/10000</f>
        <v>1.1300000000000001E-3</v>
      </c>
      <c r="BQ850" s="16">
        <f>11.7/10000</f>
        <v>1.17E-3</v>
      </c>
      <c r="BR850" s="16">
        <f>12.6/10000</f>
        <v>1.2600000000000001E-3</v>
      </c>
      <c r="BS850" s="16">
        <f>12.6/10000</f>
        <v>1.2600000000000001E-3</v>
      </c>
      <c r="BT850" s="16">
        <f>12.1/10000</f>
        <v>1.2099999999999999E-3</v>
      </c>
      <c r="BU850" s="16">
        <f>12.4/10000</f>
        <v>1.24E-3</v>
      </c>
      <c r="BV850" s="16">
        <f>12.2/10000</f>
        <v>1.2199999999999999E-3</v>
      </c>
      <c r="BW850" s="16">
        <f>12.8/10000</f>
        <v>1.2800000000000001E-3</v>
      </c>
      <c r="BX850" s="16">
        <f>12.8/10000</f>
        <v>1.2800000000000001E-3</v>
      </c>
      <c r="BY850" s="16">
        <f>12.5/10000</f>
        <v>1.25E-3</v>
      </c>
      <c r="CH850" s="44"/>
    </row>
    <row r="851" spans="1:86" x14ac:dyDescent="0.2">
      <c r="A851" s="3" t="s">
        <v>28</v>
      </c>
      <c r="B851" s="39">
        <v>857</v>
      </c>
      <c r="C851" s="82"/>
      <c r="AQ851" s="5"/>
      <c r="AT851" s="16"/>
      <c r="BD851" s="16"/>
      <c r="BF851" s="16"/>
      <c r="BG851" s="16"/>
      <c r="BH851" s="5"/>
      <c r="BI851" s="16"/>
      <c r="BK851" s="5"/>
      <c r="BL851" s="16">
        <v>8.0000000000000002E-3</v>
      </c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CB851" s="16">
        <v>6.0000000000000001E-3</v>
      </c>
      <c r="CH851" s="44"/>
    </row>
    <row r="852" spans="1:86" x14ac:dyDescent="0.2">
      <c r="A852" s="3" t="s">
        <v>28</v>
      </c>
      <c r="B852" s="39">
        <v>858</v>
      </c>
      <c r="C852" s="82"/>
      <c r="AQ852" s="5"/>
      <c r="AT852" s="16"/>
      <c r="BD852" s="16"/>
      <c r="BF852" s="16"/>
      <c r="BG852" s="16"/>
      <c r="BH852" s="5"/>
      <c r="BI852" s="16"/>
      <c r="BK852" s="5"/>
      <c r="BL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>
        <v>3.3999999999999998E-3</v>
      </c>
      <c r="BX852" s="16">
        <v>3.2000000000000002E-3</v>
      </c>
      <c r="BY852" s="16">
        <v>2.5999999999999999E-3</v>
      </c>
      <c r="BZ852" s="16">
        <v>2.5000000000000001E-3</v>
      </c>
      <c r="CA852" s="16">
        <v>2.5999999999999999E-3</v>
      </c>
      <c r="CB852" s="16">
        <v>2.3E-3</v>
      </c>
      <c r="CH852" s="44"/>
    </row>
    <row r="853" spans="1:86" x14ac:dyDescent="0.2">
      <c r="A853" s="3" t="s">
        <v>28</v>
      </c>
      <c r="B853" s="39">
        <v>859</v>
      </c>
      <c r="C853" s="82"/>
      <c r="AQ853" s="5"/>
      <c r="AT853" s="16"/>
      <c r="BD853" s="16"/>
      <c r="BF853" s="16"/>
      <c r="BG853" s="16"/>
      <c r="BH853" s="5"/>
      <c r="BI853" s="16"/>
      <c r="BK853" s="5"/>
      <c r="BL853" s="16"/>
      <c r="BN853" s="16"/>
      <c r="BO853" s="16"/>
      <c r="BP853" s="16"/>
      <c r="BQ853" s="16"/>
      <c r="BR853" s="16"/>
      <c r="BS853" s="16"/>
      <c r="BT853" s="16"/>
      <c r="BU853" s="16"/>
      <c r="BV853" s="16">
        <v>1.1000000000000001E-3</v>
      </c>
      <c r="BW853" s="16"/>
      <c r="BX853" s="16"/>
      <c r="BY853" s="16"/>
      <c r="BZ853" s="16"/>
      <c r="CA853" s="16"/>
      <c r="CB853" s="16">
        <v>2E-3</v>
      </c>
      <c r="CH853" s="44"/>
    </row>
    <row r="854" spans="1:86" x14ac:dyDescent="0.2">
      <c r="A854" s="3" t="s">
        <v>28</v>
      </c>
      <c r="B854" s="39">
        <v>860</v>
      </c>
      <c r="C854" s="82"/>
      <c r="AQ854" s="5"/>
      <c r="AT854" s="16"/>
      <c r="BD854" s="16"/>
      <c r="BF854" s="16"/>
      <c r="BG854" s="16"/>
      <c r="BH854" s="5"/>
      <c r="BI854" s="16"/>
      <c r="BK854" s="5"/>
      <c r="BL854" s="16">
        <v>6.6E-4</v>
      </c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>
        <v>1.8400000000000001E-3</v>
      </c>
      <c r="CH854" s="44"/>
    </row>
    <row r="855" spans="1:86" x14ac:dyDescent="0.2">
      <c r="A855" s="3" t="s">
        <v>28</v>
      </c>
      <c r="B855" s="39">
        <v>860</v>
      </c>
      <c r="C855" s="82"/>
      <c r="AQ855" s="5"/>
      <c r="AT855" s="16"/>
      <c r="BD855" s="16"/>
      <c r="BF855" s="16"/>
      <c r="BG855" s="16"/>
      <c r="BH855" s="5"/>
      <c r="BI855" s="16"/>
      <c r="BK855" s="5"/>
      <c r="BL855" s="16">
        <v>1.5E-3</v>
      </c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>
        <v>3.5699999999999998E-3</v>
      </c>
      <c r="CH855" s="44"/>
    </row>
    <row r="856" spans="1:86" x14ac:dyDescent="0.2">
      <c r="A856" s="3" t="s">
        <v>28</v>
      </c>
      <c r="B856" s="39">
        <v>861</v>
      </c>
      <c r="C856" s="82"/>
      <c r="AQ856" s="5"/>
      <c r="AT856" s="16"/>
      <c r="BD856" s="16"/>
      <c r="BF856" s="16"/>
      <c r="BG856" s="16"/>
      <c r="BH856" s="5"/>
      <c r="BI856" s="16"/>
      <c r="BK856" s="5"/>
      <c r="BL856" s="16"/>
      <c r="BN856" s="16"/>
      <c r="BO856" s="16"/>
      <c r="BP856" s="16">
        <v>2.3999999999999998E-3</v>
      </c>
      <c r="BQ856" s="16">
        <v>2.5999999999999999E-3</v>
      </c>
      <c r="BR856" s="16">
        <v>2.5999999999999999E-3</v>
      </c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H856" s="44"/>
    </row>
    <row r="857" spans="1:86" s="46" customFormat="1" x14ac:dyDescent="0.2">
      <c r="A857" s="38" t="s">
        <v>28</v>
      </c>
      <c r="B857" s="40">
        <v>91</v>
      </c>
      <c r="C857" s="83"/>
      <c r="AQ857" s="48"/>
      <c r="AT857" s="63"/>
      <c r="BD857" s="63"/>
      <c r="BF857" s="63"/>
      <c r="BG857" s="63"/>
      <c r="BH857" s="48"/>
      <c r="BI857" s="63"/>
      <c r="BK857" s="48"/>
      <c r="BL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>
        <v>3.0000000000000001E-3</v>
      </c>
      <c r="BX857" s="63">
        <v>3.0000000000000001E-3</v>
      </c>
      <c r="BY857" s="63">
        <v>3.0000000000000001E-3</v>
      </c>
      <c r="BZ857" s="63">
        <v>3.0000000000000001E-3</v>
      </c>
      <c r="CA857" s="63">
        <v>3.0000000000000001E-3</v>
      </c>
      <c r="CB857" s="63">
        <v>3.0000000000000001E-3</v>
      </c>
      <c r="CC857" s="63">
        <v>3.0000000000000001E-3</v>
      </c>
      <c r="CH857" s="51"/>
    </row>
    <row r="858" spans="1:86" x14ac:dyDescent="0.2">
      <c r="A858" s="3" t="s">
        <v>29</v>
      </c>
      <c r="B858" s="39">
        <v>797</v>
      </c>
      <c r="C858" s="82"/>
      <c r="AQ858" s="5"/>
      <c r="BC858" s="5">
        <v>6.7500000000000004E-2</v>
      </c>
      <c r="BL858" s="5">
        <v>7.4499999999999997E-2</v>
      </c>
      <c r="BP858"/>
      <c r="BR858"/>
      <c r="BS858"/>
      <c r="CH858" s="44"/>
    </row>
    <row r="859" spans="1:86" x14ac:dyDescent="0.2">
      <c r="A859" s="3" t="s">
        <v>29</v>
      </c>
      <c r="B859" s="39">
        <v>862</v>
      </c>
      <c r="C859" s="82"/>
      <c r="AQ859" s="5"/>
      <c r="BK859" s="5">
        <v>0.11600000000000001</v>
      </c>
      <c r="BP859"/>
      <c r="BR859"/>
      <c r="BS859"/>
      <c r="BW859" s="5">
        <v>8.5999999999999993E-2</v>
      </c>
      <c r="CH859" s="44"/>
    </row>
    <row r="860" spans="1:86" x14ac:dyDescent="0.2">
      <c r="A860" s="3" t="s">
        <v>29</v>
      </c>
      <c r="B860" s="39">
        <v>863</v>
      </c>
      <c r="C860" s="82"/>
      <c r="AQ860" s="5"/>
      <c r="BG860" s="5">
        <v>5.0999999999999997E-2</v>
      </c>
      <c r="BL860" s="5"/>
      <c r="BP860"/>
      <c r="BR860"/>
      <c r="BS860"/>
      <c r="BY860" s="5">
        <v>7.0000000000000007E-2</v>
      </c>
      <c r="CH860" s="44"/>
    </row>
    <row r="861" spans="1:86" x14ac:dyDescent="0.2">
      <c r="A861" s="3" t="s">
        <v>29</v>
      </c>
      <c r="B861" s="39">
        <v>864</v>
      </c>
      <c r="C861" s="82"/>
      <c r="AQ861" s="5"/>
      <c r="BG861" s="5"/>
      <c r="BK861" s="5">
        <v>0.122</v>
      </c>
      <c r="BP861"/>
      <c r="BR861"/>
      <c r="BS861"/>
      <c r="BY861" s="5"/>
      <c r="CA861" s="5">
        <v>8.5000000000000006E-2</v>
      </c>
      <c r="CH861" s="44"/>
    </row>
    <row r="862" spans="1:86" x14ac:dyDescent="0.2">
      <c r="A862" s="3" t="s">
        <v>29</v>
      </c>
      <c r="B862" s="39">
        <v>802</v>
      </c>
      <c r="C862" s="82"/>
      <c r="AQ862" s="5"/>
      <c r="BG862" s="5"/>
      <c r="BK862" s="5">
        <v>4.7E-2</v>
      </c>
      <c r="BP862" s="5">
        <v>0.11</v>
      </c>
      <c r="BR862"/>
      <c r="BS862"/>
      <c r="BU862" s="5">
        <v>0.13400000000000001</v>
      </c>
      <c r="BY862" s="5"/>
      <c r="BZ862" s="5">
        <v>0.114</v>
      </c>
      <c r="CA862" s="5"/>
      <c r="CH862" s="44"/>
    </row>
    <row r="863" spans="1:86" x14ac:dyDescent="0.2">
      <c r="A863" s="3" t="s">
        <v>29</v>
      </c>
      <c r="B863" s="39">
        <v>802</v>
      </c>
      <c r="C863" s="82"/>
      <c r="AQ863" s="5"/>
      <c r="BG863" s="5"/>
      <c r="BK863" s="5">
        <v>6.0999999999999999E-2</v>
      </c>
      <c r="BP863" s="5">
        <v>0.121</v>
      </c>
      <c r="BR863"/>
      <c r="BS863"/>
      <c r="BU863" s="5">
        <v>0.247</v>
      </c>
      <c r="BY863" s="5"/>
      <c r="BZ863" s="5">
        <v>0.24299999999999999</v>
      </c>
      <c r="CA863" s="5"/>
      <c r="CH863" s="44"/>
    </row>
    <row r="864" spans="1:86" x14ac:dyDescent="0.2">
      <c r="A864" s="3" t="s">
        <v>29</v>
      </c>
      <c r="B864" s="39">
        <v>802</v>
      </c>
      <c r="C864" s="82"/>
      <c r="AQ864" s="5"/>
      <c r="BG864" s="5"/>
      <c r="BK864" s="5">
        <v>9.8000000000000004E-2</v>
      </c>
      <c r="BP864" s="5">
        <v>0.121</v>
      </c>
      <c r="BR864"/>
      <c r="BS864"/>
      <c r="BU864" s="5">
        <v>0.255</v>
      </c>
      <c r="BY864" s="5"/>
      <c r="BZ864" s="5">
        <v>0.26100000000000001</v>
      </c>
      <c r="CA864" s="5"/>
      <c r="CH864" s="44"/>
    </row>
    <row r="865" spans="1:86" x14ac:dyDescent="0.2">
      <c r="A865" s="3" t="s">
        <v>29</v>
      </c>
      <c r="B865" s="39">
        <v>803</v>
      </c>
      <c r="C865" s="82"/>
      <c r="AQ865" s="5"/>
      <c r="BE865" s="5">
        <v>2.5999999999999999E-2</v>
      </c>
      <c r="BG865" s="5"/>
      <c r="BJ865" s="5">
        <v>2.1999999999999999E-2</v>
      </c>
      <c r="BK865" s="5"/>
      <c r="BP865" s="5"/>
      <c r="BR865"/>
      <c r="BS865"/>
      <c r="BU865" s="5"/>
      <c r="BY865" s="5"/>
      <c r="BZ865" s="5"/>
      <c r="CA865" s="5"/>
      <c r="CH865" s="44"/>
    </row>
    <row r="866" spans="1:86" x14ac:dyDescent="0.2">
      <c r="A866" s="3" t="s">
        <v>29</v>
      </c>
      <c r="B866" s="39">
        <v>865</v>
      </c>
      <c r="C866" s="82"/>
      <c r="AQ866" s="5"/>
      <c r="BD866" s="5">
        <v>7.0000000000000007E-2</v>
      </c>
      <c r="BG866" s="5"/>
      <c r="BJ866" s="5"/>
      <c r="BK866" s="5"/>
      <c r="BM866" s="5">
        <v>5.1999999999999998E-2</v>
      </c>
      <c r="BP866" s="5"/>
      <c r="BR866"/>
      <c r="BS866"/>
      <c r="BU866" s="5"/>
      <c r="BY866" s="5"/>
      <c r="BZ866" s="5"/>
      <c r="CA866" s="5"/>
      <c r="CH866" s="44"/>
    </row>
    <row r="867" spans="1:86" x14ac:dyDescent="0.2">
      <c r="A867" s="3" t="s">
        <v>29</v>
      </c>
      <c r="B867" s="39">
        <v>866</v>
      </c>
      <c r="C867" s="82"/>
      <c r="AQ867" s="5"/>
      <c r="BD867" s="5"/>
      <c r="BG867" s="5"/>
      <c r="BJ867" s="5"/>
      <c r="BK867" s="5"/>
      <c r="BM867" s="5">
        <v>0.26500000000000001</v>
      </c>
      <c r="BP867" s="5"/>
      <c r="BR867" s="5">
        <v>0.372</v>
      </c>
      <c r="BS867"/>
      <c r="BU867" s="5"/>
      <c r="BY867" s="5"/>
      <c r="BZ867" s="5"/>
      <c r="CA867" s="5"/>
      <c r="CH867" s="44"/>
    </row>
    <row r="868" spans="1:86" x14ac:dyDescent="0.2">
      <c r="A868" s="3" t="s">
        <v>29</v>
      </c>
      <c r="B868" s="39">
        <v>867</v>
      </c>
      <c r="C868" s="82"/>
      <c r="AQ868" s="5"/>
      <c r="AV868" s="5">
        <v>3.4099999999999998E-2</v>
      </c>
      <c r="BC868" s="5">
        <v>3.3500000000000002E-2</v>
      </c>
      <c r="BG868" s="5"/>
      <c r="BI868" s="5">
        <v>3.9899999999999998E-2</v>
      </c>
      <c r="BK868" s="5"/>
      <c r="BM868" s="5"/>
      <c r="BP868" s="5">
        <v>6.8599999999999994E-2</v>
      </c>
      <c r="BR868" s="5"/>
      <c r="BS868"/>
      <c r="BU868" s="5"/>
      <c r="BY868" s="5"/>
      <c r="BZ868" s="5"/>
      <c r="CA868" s="5"/>
      <c r="CH868" s="44"/>
    </row>
    <row r="869" spans="1:86" x14ac:dyDescent="0.2">
      <c r="A869" s="3" t="s">
        <v>29</v>
      </c>
      <c r="B869" s="39">
        <v>867</v>
      </c>
      <c r="C869" s="82"/>
      <c r="AQ869" s="5"/>
      <c r="AV869" s="5">
        <v>0.19500000000000001</v>
      </c>
      <c r="BC869" s="5">
        <v>0.13389999999999999</v>
      </c>
      <c r="BG869" s="5"/>
      <c r="BI869" s="5">
        <v>0.16839999999999999</v>
      </c>
      <c r="BK869" s="5"/>
      <c r="BM869" s="5"/>
      <c r="BP869" s="5">
        <v>0.27739999999999998</v>
      </c>
      <c r="BR869" s="5"/>
      <c r="BS869"/>
      <c r="BU869" s="5"/>
      <c r="BY869" s="5"/>
      <c r="BZ869" s="5"/>
      <c r="CA869" s="5"/>
      <c r="CH869" s="44"/>
    </row>
    <row r="870" spans="1:86" x14ac:dyDescent="0.2">
      <c r="A870" s="3" t="s">
        <v>29</v>
      </c>
      <c r="B870" s="39">
        <v>867</v>
      </c>
      <c r="C870" s="82"/>
      <c r="AQ870" s="5"/>
      <c r="AV870" s="5">
        <v>0.57140000000000002</v>
      </c>
      <c r="BC870" s="5">
        <v>0.46429999999999999</v>
      </c>
      <c r="BG870" s="5"/>
      <c r="BI870" s="5">
        <v>0.35589999999999999</v>
      </c>
      <c r="BK870" s="5"/>
      <c r="BM870" s="5"/>
      <c r="BP870" s="5">
        <v>0.53490000000000004</v>
      </c>
      <c r="BR870" s="5"/>
      <c r="BS870"/>
      <c r="BU870" s="5"/>
      <c r="BY870" s="5"/>
      <c r="BZ870" s="5"/>
      <c r="CA870" s="5"/>
      <c r="CH870" s="44"/>
    </row>
    <row r="871" spans="1:86" x14ac:dyDescent="0.2">
      <c r="A871" s="3" t="s">
        <v>29</v>
      </c>
      <c r="B871" s="39">
        <v>868</v>
      </c>
      <c r="C871" s="82"/>
      <c r="AQ871" s="5"/>
      <c r="AV871" s="5"/>
      <c r="BC871" s="5"/>
      <c r="BE871" s="5">
        <v>8.4000000000000005E-2</v>
      </c>
      <c r="BG871" s="5"/>
      <c r="BI871" s="5"/>
      <c r="BK871" s="5"/>
      <c r="BM871" s="5"/>
      <c r="BP871" s="5"/>
      <c r="BR871" s="5"/>
      <c r="BS871"/>
      <c r="BU871" s="5"/>
      <c r="BV871" s="5">
        <v>6.5000000000000002E-2</v>
      </c>
      <c r="BY871" s="5"/>
      <c r="BZ871" s="5"/>
      <c r="CA871" s="5"/>
      <c r="CH871" s="44"/>
    </row>
    <row r="872" spans="1:86" x14ac:dyDescent="0.2">
      <c r="A872" s="3" t="s">
        <v>29</v>
      </c>
      <c r="B872" s="39">
        <v>869</v>
      </c>
      <c r="C872" s="82"/>
      <c r="AQ872" s="5"/>
      <c r="AV872" s="5"/>
      <c r="AX872" s="5">
        <v>1.7399999999999999E-2</v>
      </c>
      <c r="BC872" s="5"/>
      <c r="BE872" s="5"/>
      <c r="BG872" s="5"/>
      <c r="BH872" s="5">
        <v>2.5100000000000001E-2</v>
      </c>
      <c r="BI872" s="5"/>
      <c r="BK872" s="5"/>
      <c r="BM872" s="5"/>
      <c r="BP872" s="5"/>
      <c r="BR872" s="5"/>
      <c r="BS872"/>
      <c r="BU872" s="5"/>
      <c r="BV872" s="5"/>
      <c r="BY872" s="5"/>
      <c r="BZ872" s="5"/>
      <c r="CA872" s="5"/>
      <c r="CH872" s="44"/>
    </row>
    <row r="873" spans="1:86" x14ac:dyDescent="0.2">
      <c r="A873" s="3" t="s">
        <v>29</v>
      </c>
      <c r="B873" s="39">
        <v>869</v>
      </c>
      <c r="C873" s="82"/>
      <c r="AQ873" s="5"/>
      <c r="AV873" s="5">
        <v>6.7000000000000004E-2</v>
      </c>
      <c r="BC873" s="5">
        <v>5.7000000000000002E-2</v>
      </c>
      <c r="BG873" s="5"/>
      <c r="BH873" s="5"/>
      <c r="BI873" s="5">
        <v>7.0999999999999994E-2</v>
      </c>
      <c r="BK873" s="5"/>
      <c r="BM873" s="5"/>
      <c r="BP873" s="5">
        <v>0.125</v>
      </c>
      <c r="BR873" s="5"/>
      <c r="BS873"/>
      <c r="BU873" s="5"/>
      <c r="BV873" s="5"/>
      <c r="BY873" s="5"/>
      <c r="BZ873" s="5"/>
      <c r="CA873" s="5"/>
      <c r="CH873" s="44"/>
    </row>
    <row r="874" spans="1:86" x14ac:dyDescent="0.2">
      <c r="A874" s="3" t="s">
        <v>29</v>
      </c>
      <c r="B874" s="39">
        <v>870</v>
      </c>
      <c r="C874" s="82"/>
      <c r="AQ874" s="5">
        <v>4.3999999999999997E-2</v>
      </c>
      <c r="AV874" s="5"/>
      <c r="BA874" s="5">
        <v>4.9000000000000002E-2</v>
      </c>
      <c r="BC874" s="5"/>
      <c r="BG874" s="5"/>
      <c r="BH874" s="5"/>
      <c r="BI874" s="5"/>
      <c r="BK874" s="5">
        <v>7.3999999999999996E-2</v>
      </c>
      <c r="BM874" s="5"/>
      <c r="BP874" s="5"/>
      <c r="BR874" s="5"/>
      <c r="BS874"/>
      <c r="BU874" s="5"/>
      <c r="BV874" s="5"/>
      <c r="BY874" s="5"/>
      <c r="BZ874" s="5"/>
      <c r="CA874" s="5"/>
      <c r="CH874" s="44"/>
    </row>
    <row r="875" spans="1:86" x14ac:dyDescent="0.2">
      <c r="A875" s="3" t="s">
        <v>29</v>
      </c>
      <c r="B875" s="39">
        <v>804</v>
      </c>
      <c r="C875" s="82"/>
      <c r="AQ875" s="5"/>
      <c r="AV875" s="5">
        <v>6.7000000000000004E-2</v>
      </c>
      <c r="BA875" s="5"/>
      <c r="BC875" s="5">
        <v>5.7000000000000002E-2</v>
      </c>
      <c r="BG875" s="5"/>
      <c r="BH875" s="5"/>
      <c r="BI875" s="5">
        <v>7.0999999999999994E-2</v>
      </c>
      <c r="BM875" s="5"/>
      <c r="BP875" s="5">
        <v>0.125</v>
      </c>
      <c r="BR875" s="5"/>
      <c r="BS875"/>
      <c r="BU875" s="5"/>
      <c r="BV875" s="5">
        <v>0.17899999999999999</v>
      </c>
      <c r="BY875" s="5"/>
      <c r="BZ875" s="5"/>
      <c r="CA875" s="5"/>
      <c r="CH875" s="44"/>
    </row>
    <row r="876" spans="1:86" x14ac:dyDescent="0.2">
      <c r="A876" s="3" t="s">
        <v>29</v>
      </c>
      <c r="B876" s="39">
        <v>807</v>
      </c>
      <c r="C876" s="82"/>
      <c r="AQ876" s="5"/>
      <c r="AV876" s="5"/>
      <c r="BA876" s="5">
        <v>6.1999999999999998E-3</v>
      </c>
      <c r="BC876" s="5"/>
      <c r="BG876" s="5"/>
      <c r="BH876" s="5"/>
      <c r="BI876" s="5"/>
      <c r="BK876" s="5">
        <v>9.4999999999999998E-3</v>
      </c>
      <c r="BM876" s="5"/>
      <c r="BP876" s="5"/>
      <c r="BR876" s="5"/>
      <c r="BS876"/>
      <c r="BU876" s="5"/>
      <c r="BV876" s="5"/>
      <c r="BY876" s="5"/>
      <c r="BZ876" s="5"/>
      <c r="CA876" s="5"/>
      <c r="CH876" s="44"/>
    </row>
    <row r="877" spans="1:86" x14ac:dyDescent="0.2">
      <c r="A877" s="3" t="s">
        <v>29</v>
      </c>
      <c r="B877" s="39">
        <v>871</v>
      </c>
      <c r="C877" s="82"/>
      <c r="AQ877" s="5"/>
      <c r="AV877" s="5"/>
      <c r="BA877" s="5"/>
      <c r="BC877" s="5"/>
      <c r="BG877" s="5"/>
      <c r="BH877" s="5">
        <v>5.5E-2</v>
      </c>
      <c r="BK877" s="5"/>
      <c r="BM877" s="5"/>
      <c r="BP877" s="5"/>
      <c r="BR877" s="5">
        <v>5.8999999999999997E-2</v>
      </c>
      <c r="BS877"/>
      <c r="BU877" s="5"/>
      <c r="BV877" s="5"/>
      <c r="BY877" s="5"/>
      <c r="BZ877" s="5"/>
      <c r="CA877" s="5"/>
      <c r="CH877" s="44"/>
    </row>
    <row r="878" spans="1:86" x14ac:dyDescent="0.2">
      <c r="A878" s="3" t="s">
        <v>29</v>
      </c>
      <c r="B878" s="39">
        <v>872</v>
      </c>
      <c r="C878" s="82"/>
      <c r="AQ878" s="5"/>
      <c r="AV878" s="5"/>
      <c r="BA878" s="5"/>
      <c r="BC878" s="5"/>
      <c r="BG878" s="5"/>
      <c r="BH878" s="5"/>
      <c r="BK878" s="5"/>
      <c r="BM878" s="5"/>
      <c r="BO878" s="5">
        <v>3.6799999999999999E-2</v>
      </c>
      <c r="BP878"/>
      <c r="BR878" s="5"/>
      <c r="BS878"/>
      <c r="BU878" s="5">
        <v>4.2000000000000003E-2</v>
      </c>
      <c r="BV878" s="5"/>
      <c r="BY878" s="5"/>
      <c r="BZ878" s="5"/>
      <c r="CA878" s="5"/>
      <c r="CH878" s="44"/>
    </row>
    <row r="879" spans="1:86" x14ac:dyDescent="0.2">
      <c r="A879" s="3" t="s">
        <v>29</v>
      </c>
      <c r="B879" s="39">
        <v>873</v>
      </c>
      <c r="C879" s="82"/>
      <c r="AN879" s="5">
        <v>1.7000000000000001E-2</v>
      </c>
      <c r="AQ879" s="5"/>
      <c r="AV879" s="5"/>
      <c r="BA879" s="5"/>
      <c r="BC879" s="5"/>
      <c r="BG879" s="5"/>
      <c r="BH879" s="5"/>
      <c r="BK879" s="5"/>
      <c r="BL879" s="5">
        <v>8.9999999999999993E-3</v>
      </c>
      <c r="BM879" s="5"/>
      <c r="BO879" s="5"/>
      <c r="BP879"/>
      <c r="BR879" s="5"/>
      <c r="BS879"/>
      <c r="BU879" s="5"/>
      <c r="BV879" s="5"/>
      <c r="BY879" s="5"/>
      <c r="BZ879" s="5"/>
      <c r="CA879" s="5"/>
      <c r="CH879" s="44"/>
    </row>
    <row r="880" spans="1:86" x14ac:dyDescent="0.2">
      <c r="A880" s="3" t="s">
        <v>29</v>
      </c>
      <c r="B880" s="39">
        <v>873</v>
      </c>
      <c r="C880" s="82"/>
      <c r="AN880" s="5">
        <v>2.1999999999999999E-2</v>
      </c>
      <c r="AQ880" s="5"/>
      <c r="AV880" s="5"/>
      <c r="BA880" s="5"/>
      <c r="BC880" s="5"/>
      <c r="BG880" s="5"/>
      <c r="BH880" s="5"/>
      <c r="BK880" s="5"/>
      <c r="BL880" s="5">
        <v>3.6999999999999998E-2</v>
      </c>
      <c r="BM880" s="5"/>
      <c r="BO880" s="5"/>
      <c r="BP880"/>
      <c r="BR880" s="5"/>
      <c r="BS880"/>
      <c r="BU880" s="5"/>
      <c r="BV880" s="5"/>
      <c r="BY880" s="5"/>
      <c r="BZ880" s="5"/>
      <c r="CA880" s="5"/>
      <c r="CH880" s="44"/>
    </row>
    <row r="881" spans="1:86" x14ac:dyDescent="0.2">
      <c r="A881" s="3" t="s">
        <v>29</v>
      </c>
      <c r="B881" s="39">
        <v>873</v>
      </c>
      <c r="C881" s="82"/>
      <c r="AN881" s="5">
        <v>6.8000000000000005E-2</v>
      </c>
      <c r="AQ881" s="5"/>
      <c r="AV881" s="5"/>
      <c r="BA881" s="5"/>
      <c r="BC881" s="5"/>
      <c r="BG881" s="5"/>
      <c r="BH881" s="5"/>
      <c r="BK881" s="5"/>
      <c r="BM881" s="5"/>
      <c r="BO881" s="5"/>
      <c r="BP881"/>
      <c r="BQ881" s="5">
        <v>6.9000000000000006E-2</v>
      </c>
      <c r="BR881" s="5"/>
      <c r="BS881"/>
      <c r="BU881" s="5"/>
      <c r="BV881" s="5"/>
      <c r="BY881" s="5"/>
      <c r="BZ881" s="5"/>
      <c r="CA881" s="5"/>
      <c r="CH881" s="44"/>
    </row>
    <row r="882" spans="1:86" x14ac:dyDescent="0.2">
      <c r="A882" s="3" t="s">
        <v>29</v>
      </c>
      <c r="B882" s="39">
        <v>873</v>
      </c>
      <c r="C882" s="82"/>
      <c r="AN882" s="5">
        <v>3.7999999999999999E-2</v>
      </c>
      <c r="AQ882" s="5"/>
      <c r="AV882" s="5"/>
      <c r="BA882" s="5"/>
      <c r="BC882" s="5"/>
      <c r="BG882" s="5"/>
      <c r="BH882" s="5"/>
      <c r="BK882" s="5"/>
      <c r="BM882" s="5"/>
      <c r="BO882" s="5"/>
      <c r="BP882"/>
      <c r="BQ882" s="5">
        <v>5.2999999999999999E-2</v>
      </c>
      <c r="BR882" s="5"/>
      <c r="BS882"/>
      <c r="BU882" s="5"/>
      <c r="BV882" s="5"/>
      <c r="BY882" s="5"/>
      <c r="BZ882" s="5"/>
      <c r="CA882" s="5"/>
      <c r="CH882" s="44"/>
    </row>
    <row r="883" spans="1:86" x14ac:dyDescent="0.2">
      <c r="A883" s="3" t="s">
        <v>29</v>
      </c>
      <c r="B883" s="39">
        <v>874</v>
      </c>
      <c r="C883" s="82"/>
      <c r="AN883" s="5"/>
      <c r="AQ883" s="5"/>
      <c r="AV883" s="5"/>
      <c r="BA883" s="5"/>
      <c r="BC883" s="5"/>
      <c r="BG883" s="5"/>
      <c r="BH883" s="5"/>
      <c r="BI883" s="5">
        <v>3.5999999999999997E-2</v>
      </c>
      <c r="BJ883" s="5">
        <v>4.1000000000000002E-2</v>
      </c>
      <c r="BK883" s="5">
        <v>4.1000000000000002E-2</v>
      </c>
      <c r="BL883" s="5">
        <v>4.3999999999999997E-2</v>
      </c>
      <c r="BM883" s="5">
        <v>4.2000000000000003E-2</v>
      </c>
      <c r="BN883" s="5">
        <v>4.4999999999999998E-2</v>
      </c>
      <c r="BO883" s="5">
        <v>4.8000000000000001E-2</v>
      </c>
      <c r="BP883" s="5">
        <v>5.0999999999999997E-2</v>
      </c>
      <c r="BQ883" s="5">
        <v>5.2999999999999999E-2</v>
      </c>
      <c r="BR883" s="5">
        <v>5.8000000000000003E-2</v>
      </c>
      <c r="BS883" s="5"/>
      <c r="BT883" s="5"/>
      <c r="BU883" s="5"/>
      <c r="BV883" s="5"/>
      <c r="BY883" s="5"/>
      <c r="BZ883" s="5"/>
      <c r="CA883" s="5"/>
      <c r="CH883" s="44"/>
    </row>
    <row r="884" spans="1:86" x14ac:dyDescent="0.2">
      <c r="A884" s="3" t="s">
        <v>29</v>
      </c>
      <c r="B884" s="39">
        <v>874</v>
      </c>
      <c r="C884" s="82"/>
      <c r="AN884" s="5"/>
      <c r="AQ884" s="5"/>
      <c r="AV884" s="5"/>
      <c r="BA884" s="5"/>
      <c r="BC884" s="5"/>
      <c r="BG884" s="5"/>
      <c r="BH884" s="5"/>
      <c r="BI884" s="5">
        <v>4.2999999999999997E-2</v>
      </c>
      <c r="BJ884" s="5">
        <v>4.5999999999999999E-2</v>
      </c>
      <c r="BK884" s="5">
        <v>4.8000000000000001E-2</v>
      </c>
      <c r="BL884" s="5">
        <v>0.05</v>
      </c>
      <c r="BM884" s="5">
        <v>5.0999999999999997E-2</v>
      </c>
      <c r="BN884" s="5">
        <v>5.1999999999999998E-2</v>
      </c>
      <c r="BO884" s="5">
        <v>5.3999999999999999E-2</v>
      </c>
      <c r="BP884" s="5">
        <v>5.6000000000000001E-2</v>
      </c>
      <c r="BQ884" s="5">
        <v>5.8000000000000003E-2</v>
      </c>
      <c r="BR884" s="5">
        <v>0.06</v>
      </c>
      <c r="BS884" s="5"/>
      <c r="BT884" s="5"/>
      <c r="BU884" s="5"/>
      <c r="BV884" s="5"/>
      <c r="BY884" s="5"/>
      <c r="BZ884" s="5"/>
      <c r="CA884" s="5"/>
      <c r="CH884" s="44"/>
    </row>
    <row r="885" spans="1:86" x14ac:dyDescent="0.2">
      <c r="A885" s="3" t="s">
        <v>29</v>
      </c>
      <c r="B885" s="39">
        <v>874</v>
      </c>
      <c r="C885" s="82"/>
      <c r="AN885" s="5"/>
      <c r="AQ885" s="5"/>
      <c r="AV885" s="5"/>
      <c r="BA885" s="5"/>
      <c r="BC885" s="5"/>
      <c r="BG885" s="5"/>
      <c r="BH885" s="5"/>
      <c r="BI885" s="5">
        <v>3.5999999999999997E-2</v>
      </c>
      <c r="BJ885" s="5">
        <v>3.9E-2</v>
      </c>
      <c r="BK885" s="5">
        <v>4.3999999999999997E-2</v>
      </c>
      <c r="BL885" s="5">
        <v>5.3999999999999999E-2</v>
      </c>
      <c r="BM885" s="5">
        <v>4.9000000000000002E-2</v>
      </c>
      <c r="BN885" s="5">
        <v>4.5999999999999999E-2</v>
      </c>
      <c r="BO885" s="5">
        <v>4.7E-2</v>
      </c>
      <c r="BP885" s="5">
        <v>4.2000000000000003E-2</v>
      </c>
      <c r="BQ885" s="5">
        <v>5.1999999999999998E-2</v>
      </c>
      <c r="BR885" s="5">
        <v>5.7000000000000002E-2</v>
      </c>
      <c r="BS885" s="5">
        <v>6.3E-2</v>
      </c>
      <c r="BT885" s="5">
        <v>7.4999999999999997E-2</v>
      </c>
      <c r="BU885" s="5"/>
      <c r="BV885" s="5"/>
      <c r="BY885" s="5"/>
      <c r="BZ885" s="5"/>
      <c r="CA885" s="5"/>
      <c r="CH885" s="44"/>
    </row>
    <row r="886" spans="1:86" x14ac:dyDescent="0.2">
      <c r="A886" s="3" t="s">
        <v>29</v>
      </c>
      <c r="B886" s="39">
        <v>874</v>
      </c>
      <c r="C886" s="82"/>
      <c r="AN886" s="5"/>
      <c r="AQ886" s="5"/>
      <c r="AV886" s="5"/>
      <c r="BA886" s="5"/>
      <c r="BC886" s="5"/>
      <c r="BG886" s="5"/>
      <c r="BH886" s="5"/>
      <c r="BI886" s="5">
        <v>4.2999999999999997E-2</v>
      </c>
      <c r="BJ886" s="5">
        <v>4.3999999999999997E-2</v>
      </c>
      <c r="BK886" s="5">
        <v>4.4000000000000004E-2</v>
      </c>
      <c r="BL886" s="5">
        <v>4.4999999999999998E-2</v>
      </c>
      <c r="BM886" s="5">
        <v>4.5999999999999999E-2</v>
      </c>
      <c r="BN886" s="5">
        <v>4.7E-2</v>
      </c>
      <c r="BO886" s="5">
        <v>4.9000000000000002E-2</v>
      </c>
      <c r="BP886" s="5">
        <v>0.05</v>
      </c>
      <c r="BQ886" s="5">
        <v>5.0999999999999997E-2</v>
      </c>
      <c r="BR886" s="5">
        <v>5.2999999999999999E-2</v>
      </c>
      <c r="BS886" s="5">
        <v>5.3999999999999999E-2</v>
      </c>
      <c r="BT886" s="5">
        <v>5.6000000000000001E-2</v>
      </c>
      <c r="BU886" s="5"/>
      <c r="BV886" s="5"/>
      <c r="BY886" s="5"/>
      <c r="BZ886" s="5"/>
      <c r="CA886" s="5"/>
      <c r="CH886" s="44"/>
    </row>
    <row r="887" spans="1:86" x14ac:dyDescent="0.2">
      <c r="A887" s="3" t="s">
        <v>29</v>
      </c>
      <c r="B887" s="39">
        <v>875</v>
      </c>
      <c r="C887" s="82"/>
      <c r="AN887" s="5"/>
      <c r="AQ887" s="5"/>
      <c r="AV887" s="5"/>
      <c r="AZ887" s="5">
        <v>0.13200000000000001</v>
      </c>
      <c r="BC887" s="5"/>
      <c r="BG887" s="5"/>
      <c r="BH887" s="5"/>
      <c r="BI887" s="5"/>
      <c r="BJ887" s="5"/>
      <c r="BK887" s="5"/>
      <c r="BL887" s="5"/>
      <c r="BM887" s="5"/>
      <c r="BN887" s="5"/>
      <c r="BO887" s="5">
        <v>0.189</v>
      </c>
      <c r="BP887" s="5"/>
      <c r="BQ887" s="5"/>
      <c r="BR887" s="5"/>
      <c r="BS887" s="5"/>
      <c r="BT887" s="5"/>
      <c r="BU887" s="5"/>
      <c r="BV887" s="5"/>
      <c r="BY887" s="5"/>
      <c r="BZ887" s="5"/>
      <c r="CA887" s="5"/>
      <c r="CH887" s="44"/>
    </row>
    <row r="888" spans="1:86" x14ac:dyDescent="0.2">
      <c r="A888" s="3" t="s">
        <v>29</v>
      </c>
      <c r="B888" s="39">
        <v>876</v>
      </c>
      <c r="C888" s="82"/>
      <c r="AN888" s="5"/>
      <c r="AQ888" s="5"/>
      <c r="AV888" s="5"/>
      <c r="AZ888" s="5"/>
      <c r="BC888" s="5"/>
      <c r="BG888" s="5"/>
      <c r="BH888" s="5"/>
      <c r="BI888" s="5"/>
      <c r="BJ888" s="5">
        <v>0.218</v>
      </c>
      <c r="BL888" s="5"/>
      <c r="BM888" s="5"/>
      <c r="BN888" s="5">
        <v>0.17399999999999999</v>
      </c>
      <c r="BP888" s="5"/>
      <c r="BQ888" s="5"/>
      <c r="BR888" s="5"/>
      <c r="BS888" s="5"/>
      <c r="BT888" s="5"/>
      <c r="BU888" s="5"/>
      <c r="BV888" s="5"/>
      <c r="BY888" s="5"/>
      <c r="BZ888" s="5"/>
      <c r="CA888" s="5"/>
      <c r="CH888" s="44"/>
    </row>
    <row r="889" spans="1:86" x14ac:dyDescent="0.2">
      <c r="A889" s="3" t="s">
        <v>29</v>
      </c>
      <c r="B889" s="39">
        <v>877</v>
      </c>
      <c r="C889" s="82"/>
      <c r="AN889" s="5"/>
      <c r="AQ889" s="5"/>
      <c r="AV889" s="5"/>
      <c r="AZ889" s="5"/>
      <c r="BC889" s="5"/>
      <c r="BG889" s="5"/>
      <c r="BH889" s="5"/>
      <c r="BI889" s="5"/>
      <c r="BJ889" s="5"/>
      <c r="BL889" s="5"/>
      <c r="BM889" s="5"/>
      <c r="BN889" s="5"/>
      <c r="BP889" s="5"/>
      <c r="BQ889" s="5">
        <v>0.2135</v>
      </c>
      <c r="BR889" s="5">
        <v>0.23699999999999999</v>
      </c>
      <c r="BS889" s="5">
        <v>0.249</v>
      </c>
      <c r="BT889" s="5">
        <v>0.25640000000000002</v>
      </c>
      <c r="BU889" s="5">
        <v>0.26690000000000003</v>
      </c>
      <c r="BV889" s="5">
        <v>0.2722</v>
      </c>
      <c r="BW889" s="5">
        <v>0.27600000000000002</v>
      </c>
      <c r="BX889" s="5">
        <v>0.28160000000000002</v>
      </c>
      <c r="BY889" s="5"/>
      <c r="BZ889" s="5"/>
      <c r="CA889" s="5"/>
      <c r="CH889" s="44"/>
    </row>
    <row r="890" spans="1:86" x14ac:dyDescent="0.2">
      <c r="A890" s="3" t="s">
        <v>29</v>
      </c>
      <c r="B890" s="39">
        <v>878</v>
      </c>
      <c r="C890" s="82"/>
      <c r="AN890" s="5"/>
      <c r="AQ890" s="5"/>
      <c r="AV890" s="5"/>
      <c r="AY890" s="5">
        <v>5.7000000000000002E-2</v>
      </c>
      <c r="BC890" s="5"/>
      <c r="BG890" s="5"/>
      <c r="BH890" s="5"/>
      <c r="BI890" s="5"/>
      <c r="BJ890" s="5"/>
      <c r="BL890" s="5"/>
      <c r="BM890" s="5"/>
      <c r="BN890" s="5"/>
      <c r="BP890" s="5"/>
      <c r="BQ890" s="5"/>
      <c r="BR890" s="5"/>
      <c r="BS890" s="5">
        <v>0.113</v>
      </c>
      <c r="BT890" s="5"/>
      <c r="BU890" s="5"/>
      <c r="BV890" s="5"/>
      <c r="BW890" s="5"/>
      <c r="BX890" s="5"/>
      <c r="BY890" s="5"/>
      <c r="BZ890" s="5"/>
      <c r="CA890" s="5"/>
      <c r="CH890" s="44"/>
    </row>
    <row r="891" spans="1:86" x14ac:dyDescent="0.2">
      <c r="A891" s="3" t="s">
        <v>29</v>
      </c>
      <c r="B891" s="39">
        <v>879</v>
      </c>
      <c r="C891" s="82"/>
      <c r="AN891" s="5"/>
      <c r="AQ891" s="5"/>
      <c r="AV891" s="5"/>
      <c r="AY891" s="5"/>
      <c r="BC891" s="5"/>
      <c r="BG891" s="5"/>
      <c r="BH891" s="5"/>
      <c r="BI891" s="5"/>
      <c r="BJ891" s="5"/>
      <c r="BL891" s="5"/>
      <c r="BM891" s="5"/>
      <c r="BN891" s="5">
        <v>4.4999999999999998E-2</v>
      </c>
      <c r="BP891" s="5">
        <v>3.6999999999999998E-2</v>
      </c>
      <c r="BR891" s="5">
        <v>3.5000000000000003E-2</v>
      </c>
      <c r="BS891"/>
      <c r="BT891" s="5">
        <v>3.4000000000000002E-2</v>
      </c>
      <c r="BV891" s="5">
        <v>3.5000000000000003E-2</v>
      </c>
      <c r="BX891" s="5">
        <v>2.7E-2</v>
      </c>
      <c r="BY891" s="5"/>
      <c r="BZ891" s="5"/>
      <c r="CA891" s="5"/>
      <c r="CH891" s="44"/>
    </row>
    <row r="892" spans="1:86" x14ac:dyDescent="0.2">
      <c r="A892" s="3" t="s">
        <v>29</v>
      </c>
      <c r="B892" s="39">
        <v>880</v>
      </c>
      <c r="C892" s="82"/>
      <c r="AN892" s="5"/>
      <c r="AQ892" s="5"/>
      <c r="AV892" s="5"/>
      <c r="AY892" s="5"/>
      <c r="BC892" s="5"/>
      <c r="BG892" s="5"/>
      <c r="BH892" s="5"/>
      <c r="BI892" s="5"/>
      <c r="BJ892" s="5"/>
      <c r="BL892" s="5"/>
      <c r="BM892" s="5"/>
      <c r="BN892" s="5"/>
      <c r="BP892" s="5"/>
      <c r="BR892" s="5"/>
      <c r="BS892"/>
      <c r="BT892" s="5"/>
      <c r="BU892" s="10">
        <f>14.59/1000</f>
        <v>1.4590000000000001E-2</v>
      </c>
      <c r="BV892" s="10">
        <f>17.77/1000</f>
        <v>1.7770000000000001E-2</v>
      </c>
      <c r="BW892" s="10">
        <f>21.74/1000</f>
        <v>2.1739999999999999E-2</v>
      </c>
      <c r="BX892" s="10">
        <f>24.46/1000</f>
        <v>2.4460000000000003E-2</v>
      </c>
      <c r="BY892" s="10">
        <f>27/1000</f>
        <v>2.7E-2</v>
      </c>
      <c r="BZ892" s="10">
        <f>28.29/1000</f>
        <v>2.8289999999999999E-2</v>
      </c>
      <c r="CA892" s="10">
        <f>28.98/1000</f>
        <v>2.8979999999999999E-2</v>
      </c>
      <c r="CB892" s="10">
        <f>31.46/1000</f>
        <v>3.1460000000000002E-2</v>
      </c>
      <c r="CH892" s="44"/>
    </row>
    <row r="893" spans="1:86" x14ac:dyDescent="0.2">
      <c r="A893" s="3" t="s">
        <v>29</v>
      </c>
      <c r="B893" s="39">
        <v>808</v>
      </c>
      <c r="C893" s="82"/>
      <c r="AN893" s="5"/>
      <c r="AQ893" s="5"/>
      <c r="AV893" s="5"/>
      <c r="AY893" s="5"/>
      <c r="BC893" s="5"/>
      <c r="BG893" s="5"/>
      <c r="BH893" s="5">
        <v>4.9000000000000002E-2</v>
      </c>
      <c r="BL893" s="5"/>
      <c r="BM893" s="5"/>
      <c r="BN893" s="5"/>
      <c r="BO893" s="5">
        <v>7.0999999999999994E-2</v>
      </c>
      <c r="BP893"/>
      <c r="BR893" s="5"/>
      <c r="BS893"/>
      <c r="BT893" s="5"/>
      <c r="BU893" s="10"/>
      <c r="BV893" s="10"/>
      <c r="BW893" s="5">
        <v>9.1999999999999998E-2</v>
      </c>
      <c r="BY893" s="10"/>
      <c r="BZ893" s="10"/>
      <c r="CA893" s="5">
        <v>0.16300000000000001</v>
      </c>
      <c r="CB893" s="10"/>
      <c r="CH893" s="44"/>
    </row>
    <row r="894" spans="1:86" x14ac:dyDescent="0.2">
      <c r="A894" s="3" t="s">
        <v>29</v>
      </c>
      <c r="B894" s="39">
        <v>881</v>
      </c>
      <c r="C894" s="82"/>
      <c r="AN894" s="5"/>
      <c r="AQ894" s="5"/>
      <c r="AV894" s="5"/>
      <c r="AY894" s="5"/>
      <c r="BC894" s="5"/>
      <c r="BG894" s="5"/>
      <c r="BH894" s="5"/>
      <c r="BK894" s="5">
        <v>1.1900000000000001E-2</v>
      </c>
      <c r="BM894" s="5"/>
      <c r="BN894" s="5"/>
      <c r="BO894" s="5"/>
      <c r="BP894"/>
      <c r="BR894" s="5"/>
      <c r="BS894"/>
      <c r="BT894" s="5"/>
      <c r="BU894" s="10"/>
      <c r="BV894" s="10"/>
      <c r="BW894" s="5"/>
      <c r="BY894" s="10"/>
      <c r="BZ894" s="10"/>
      <c r="CA894" s="5"/>
      <c r="CB894" s="10"/>
      <c r="CF894" s="5">
        <v>2.4299999999999999E-2</v>
      </c>
      <c r="CH894" s="44"/>
    </row>
    <row r="895" spans="1:86" x14ac:dyDescent="0.2">
      <c r="A895" s="3" t="s">
        <v>29</v>
      </c>
      <c r="B895" s="39">
        <v>882</v>
      </c>
      <c r="C895" s="82"/>
      <c r="AN895" s="5"/>
      <c r="AQ895" s="5"/>
      <c r="AV895" s="5"/>
      <c r="AY895" s="5"/>
      <c r="BC895" s="5"/>
      <c r="BG895" s="5"/>
      <c r="BH895" s="5"/>
      <c r="BK895" s="5"/>
      <c r="BM895" s="5"/>
      <c r="BN895" s="5"/>
      <c r="BO895" s="5"/>
      <c r="BP895"/>
      <c r="BQ895" s="5">
        <v>7.3999999999999996E-2</v>
      </c>
      <c r="BR895"/>
      <c r="BS895"/>
      <c r="BT895" s="5"/>
      <c r="BU895" s="10"/>
      <c r="BV895" s="10"/>
      <c r="BW895" s="5"/>
      <c r="BY895" s="10"/>
      <c r="BZ895" s="10"/>
      <c r="CA895" s="5">
        <v>0.06</v>
      </c>
      <c r="CB895" s="10"/>
      <c r="CF895" s="5"/>
      <c r="CH895" s="44"/>
    </row>
    <row r="896" spans="1:86" x14ac:dyDescent="0.2">
      <c r="A896" s="3" t="s">
        <v>29</v>
      </c>
      <c r="B896" s="39">
        <v>883</v>
      </c>
      <c r="C896" s="82"/>
      <c r="AN896" s="5"/>
      <c r="AQ896" s="5"/>
      <c r="AV896" s="5"/>
      <c r="AX896" s="5">
        <v>0.29799999999999999</v>
      </c>
      <c r="BC896" s="5"/>
      <c r="BG896" s="5"/>
      <c r="BH896" s="5"/>
      <c r="BK896" s="5"/>
      <c r="BM896" s="5"/>
      <c r="BN896" s="5"/>
      <c r="BO896" s="5"/>
      <c r="BP896"/>
      <c r="BQ896" s="5"/>
      <c r="BR896"/>
      <c r="BS896"/>
      <c r="BT896" s="5"/>
      <c r="BU896" s="5">
        <v>0.215</v>
      </c>
      <c r="BW896" s="5"/>
      <c r="BY896" s="10"/>
      <c r="BZ896" s="10"/>
      <c r="CA896" s="5">
        <v>0.245</v>
      </c>
      <c r="CB896" s="10"/>
      <c r="CF896" s="5"/>
      <c r="CH896" s="44"/>
    </row>
    <row r="897" spans="1:86" x14ac:dyDescent="0.2">
      <c r="A897" s="3" t="s">
        <v>29</v>
      </c>
      <c r="B897" s="39">
        <v>883</v>
      </c>
      <c r="C897" s="82"/>
      <c r="AN897" s="5"/>
      <c r="AQ897" s="5"/>
      <c r="AV897" s="5"/>
      <c r="AY897" s="5"/>
      <c r="BA897" s="5">
        <v>0.41899999999999998</v>
      </c>
      <c r="BG897" s="5"/>
      <c r="BH897" s="5"/>
      <c r="BK897" s="5"/>
      <c r="BM897" s="5"/>
      <c r="BN897" s="5"/>
      <c r="BO897" s="5"/>
      <c r="BP897"/>
      <c r="BQ897" s="5"/>
      <c r="BR897"/>
      <c r="BS897"/>
      <c r="BT897" s="5"/>
      <c r="BU897" s="10"/>
      <c r="BV897" s="10"/>
      <c r="BW897" s="5">
        <v>0.28000000000000003</v>
      </c>
      <c r="BY897" s="10"/>
      <c r="BZ897" s="10"/>
      <c r="CA897" s="5"/>
      <c r="CB897" s="10"/>
      <c r="CD897" s="5">
        <v>0.217</v>
      </c>
      <c r="CF897" s="5"/>
      <c r="CH897" s="44"/>
    </row>
    <row r="898" spans="1:86" s="46" customFormat="1" x14ac:dyDescent="0.2">
      <c r="A898" s="38" t="s">
        <v>29</v>
      </c>
      <c r="B898" s="40">
        <v>883</v>
      </c>
      <c r="C898" s="83"/>
      <c r="AN898" s="48"/>
      <c r="AQ898" s="48"/>
      <c r="AV898" s="48"/>
      <c r="AY898" s="48"/>
      <c r="BC898" s="48">
        <v>0.41499999999999998</v>
      </c>
      <c r="BG898" s="48"/>
      <c r="BH898" s="48"/>
      <c r="BK898" s="48"/>
      <c r="BM898" s="48"/>
      <c r="BN898" s="48"/>
      <c r="BO898" s="48"/>
      <c r="BQ898" s="48"/>
      <c r="BT898" s="48"/>
      <c r="BU898" s="62"/>
      <c r="BV898" s="62"/>
      <c r="BW898" s="48"/>
      <c r="BY898" s="48">
        <v>0.372</v>
      </c>
      <c r="BZ898" s="62"/>
      <c r="CA898" s="48"/>
      <c r="CB898" s="62"/>
      <c r="CF898" s="48"/>
      <c r="CH898" s="51"/>
    </row>
    <row r="899" spans="1:86" x14ac:dyDescent="0.2">
      <c r="A899" s="3" t="s">
        <v>30</v>
      </c>
      <c r="B899" s="39">
        <v>809</v>
      </c>
      <c r="C899" s="82"/>
      <c r="O899" s="16">
        <v>1.4E-2</v>
      </c>
      <c r="AG899" s="16">
        <v>1.4999999999999999E-2</v>
      </c>
      <c r="AQ899" s="16"/>
      <c r="AU899" s="16"/>
      <c r="AY899" s="16"/>
      <c r="BC899" s="5"/>
      <c r="BF899" s="16"/>
      <c r="BL899" s="5"/>
      <c r="BN899" s="16"/>
      <c r="BP899"/>
      <c r="BR899"/>
      <c r="BS899"/>
      <c r="CH899" s="44"/>
    </row>
    <row r="900" spans="1:86" x14ac:dyDescent="0.2">
      <c r="A900" s="3" t="s">
        <v>30</v>
      </c>
      <c r="B900" s="39">
        <v>809</v>
      </c>
      <c r="C900" s="82"/>
      <c r="O900" s="16">
        <v>3.9E-2</v>
      </c>
      <c r="AG900" s="16">
        <v>4.1000000000000002E-2</v>
      </c>
      <c r="AQ900" s="5"/>
      <c r="AT900" s="16"/>
      <c r="BD900" s="16"/>
      <c r="BF900" s="16"/>
      <c r="BH900" s="5"/>
      <c r="BK900" s="5"/>
      <c r="BN900" s="16"/>
      <c r="BP900"/>
      <c r="BQ900" s="5"/>
      <c r="BR900"/>
      <c r="BS900"/>
      <c r="BT900" s="5"/>
      <c r="BW900" s="5"/>
      <c r="CH900" s="44"/>
    </row>
    <row r="901" spans="1:86" x14ac:dyDescent="0.2">
      <c r="A901" s="3" t="s">
        <v>30</v>
      </c>
      <c r="B901" s="39">
        <v>884</v>
      </c>
      <c r="C901" s="82"/>
      <c r="M901" s="16">
        <v>7.9000000000000001E-2</v>
      </c>
      <c r="O901" s="16"/>
      <c r="AE901" s="16">
        <v>0.16600000000000001</v>
      </c>
      <c r="AG901" s="16"/>
      <c r="AQ901" s="5"/>
      <c r="AT901" s="16"/>
      <c r="BD901" s="16"/>
      <c r="BF901" s="16"/>
      <c r="BH901" s="5"/>
      <c r="BK901" s="5"/>
      <c r="BN901" s="16"/>
      <c r="BP901"/>
      <c r="BQ901" s="5"/>
      <c r="BR901"/>
      <c r="BS901"/>
      <c r="BT901" s="5"/>
      <c r="BW901" s="5"/>
      <c r="CH901" s="44"/>
    </row>
    <row r="902" spans="1:86" x14ac:dyDescent="0.2">
      <c r="A902" s="3" t="s">
        <v>30</v>
      </c>
      <c r="B902" s="39">
        <v>884</v>
      </c>
      <c r="C902" s="82"/>
      <c r="M902" s="16">
        <v>8.9999999999999993E-3</v>
      </c>
      <c r="O902" s="16"/>
      <c r="AE902" s="16">
        <v>0.126</v>
      </c>
      <c r="AG902" s="16"/>
      <c r="AQ902" s="5"/>
      <c r="AT902" s="16"/>
      <c r="BD902" s="16"/>
      <c r="BF902" s="16"/>
      <c r="BH902" s="5"/>
      <c r="BK902" s="5"/>
      <c r="BN902" s="16"/>
      <c r="BP902"/>
      <c r="BQ902" s="5"/>
      <c r="BR902"/>
      <c r="BS902"/>
      <c r="BT902" s="5"/>
      <c r="BW902" s="5"/>
      <c r="CH902" s="44"/>
    </row>
    <row r="903" spans="1:86" x14ac:dyDescent="0.2">
      <c r="A903" s="3" t="s">
        <v>30</v>
      </c>
      <c r="B903" s="39">
        <v>885</v>
      </c>
      <c r="C903" s="82"/>
      <c r="M903" s="16"/>
      <c r="O903" s="16"/>
      <c r="T903" s="16">
        <v>0.02</v>
      </c>
      <c r="AD903" s="16">
        <v>4.4999999999999998E-2</v>
      </c>
      <c r="AE903" s="16"/>
      <c r="AG903" s="16"/>
      <c r="AN903" s="16">
        <v>0.09</v>
      </c>
      <c r="AQ903" s="5"/>
      <c r="AT903" s="16"/>
      <c r="AX903" s="16">
        <v>0.12</v>
      </c>
      <c r="BD903" s="16"/>
      <c r="BF903" s="16">
        <v>0.19</v>
      </c>
      <c r="BH903" s="5"/>
      <c r="BK903" s="5"/>
      <c r="BN903" s="16"/>
      <c r="BP903"/>
      <c r="BQ903" s="5"/>
      <c r="BR903"/>
      <c r="BS903"/>
      <c r="BT903" s="5"/>
      <c r="BW903" s="5"/>
      <c r="CH903" s="44"/>
    </row>
    <row r="904" spans="1:86" x14ac:dyDescent="0.2">
      <c r="A904" s="3" t="s">
        <v>30</v>
      </c>
      <c r="B904" s="39">
        <v>886</v>
      </c>
      <c r="C904" s="82"/>
      <c r="M904" s="16"/>
      <c r="O904" s="16"/>
      <c r="T904" s="16"/>
      <c r="AD904" s="16"/>
      <c r="AE904" s="16"/>
      <c r="AG904" s="16"/>
      <c r="AN904" s="16"/>
      <c r="AQ904" s="5"/>
      <c r="AT904" s="16"/>
      <c r="AX904" s="16"/>
      <c r="BD904" s="16"/>
      <c r="BE904" s="16">
        <v>8.6999999999999994E-2</v>
      </c>
      <c r="BF904" s="16">
        <v>8.9700000000000002E-2</v>
      </c>
      <c r="BH904" s="5"/>
      <c r="BK904" s="5"/>
      <c r="BN904" s="16"/>
      <c r="BP904"/>
      <c r="BQ904" s="5"/>
      <c r="BR904"/>
      <c r="BS904"/>
      <c r="BT904" s="5"/>
      <c r="BW904" s="5"/>
      <c r="CH904" s="44"/>
    </row>
    <row r="905" spans="1:86" x14ac:dyDescent="0.2">
      <c r="A905" s="3" t="s">
        <v>30</v>
      </c>
      <c r="B905" s="39">
        <v>811</v>
      </c>
      <c r="C905" s="82"/>
      <c r="M905" s="16"/>
      <c r="O905" s="16">
        <v>5.1999999999999998E-2</v>
      </c>
      <c r="T905" s="16"/>
      <c r="AD905" s="16"/>
      <c r="AE905" s="16"/>
      <c r="AG905" s="16">
        <v>5.3999999999999999E-2</v>
      </c>
      <c r="AN905" s="16"/>
      <c r="AQ905" s="5"/>
      <c r="AT905" s="16"/>
      <c r="AX905" s="16"/>
      <c r="BC905" s="16">
        <v>5.7000000000000002E-2</v>
      </c>
      <c r="BD905" s="16"/>
      <c r="BE905" s="16"/>
      <c r="BF905" s="16"/>
      <c r="BH905" s="5"/>
      <c r="BK905" s="5"/>
      <c r="BN905" s="16"/>
      <c r="BP905"/>
      <c r="BQ905" s="5"/>
      <c r="BR905"/>
      <c r="BS905"/>
      <c r="BT905" s="5"/>
      <c r="BW905" s="5"/>
      <c r="CH905" s="44"/>
    </row>
    <row r="906" spans="1:86" x14ac:dyDescent="0.2">
      <c r="A906" s="3" t="s">
        <v>30</v>
      </c>
      <c r="B906" s="39">
        <v>887</v>
      </c>
      <c r="C906" s="82"/>
      <c r="M906" s="16"/>
      <c r="O906" s="16"/>
      <c r="T906" s="16"/>
      <c r="AD906" s="16"/>
      <c r="AE906" s="16"/>
      <c r="AG906" s="16"/>
      <c r="AN906" s="16"/>
      <c r="AQ906" s="5"/>
      <c r="AT906" s="16"/>
      <c r="AX906" s="16"/>
      <c r="BC906" s="16">
        <v>7.1000000000000004E-3</v>
      </c>
      <c r="BD906" s="16"/>
      <c r="BE906" s="16"/>
      <c r="BF906" s="16"/>
      <c r="BH906" s="5"/>
      <c r="BI906" s="16">
        <v>7.6E-3</v>
      </c>
      <c r="BK906" s="5"/>
      <c r="BN906" s="16"/>
      <c r="BP906"/>
      <c r="BQ906" s="5"/>
      <c r="BR906"/>
      <c r="BS906"/>
      <c r="BT906" s="5"/>
      <c r="BW906" s="5"/>
      <c r="CH906" s="44"/>
    </row>
    <row r="907" spans="1:86" x14ac:dyDescent="0.2">
      <c r="A907" s="3" t="s">
        <v>30</v>
      </c>
      <c r="B907" s="39">
        <v>887</v>
      </c>
      <c r="C907" s="82"/>
      <c r="M907" s="16"/>
      <c r="O907" s="16"/>
      <c r="T907" s="16"/>
      <c r="AD907" s="16"/>
      <c r="AE907" s="16"/>
      <c r="AG907" s="16"/>
      <c r="AN907" s="16"/>
      <c r="AQ907" s="5"/>
      <c r="AT907" s="16"/>
      <c r="AX907" s="16"/>
      <c r="BC907" s="16">
        <v>5.7999999999999996E-3</v>
      </c>
      <c r="BD907" s="16"/>
      <c r="BE907" s="16"/>
      <c r="BF907" s="16"/>
      <c r="BH907" s="5"/>
      <c r="BI907" s="16">
        <v>6.4000000000000003E-3</v>
      </c>
      <c r="BK907" s="5"/>
      <c r="BN907" s="16"/>
      <c r="BP907"/>
      <c r="BQ907" s="5"/>
      <c r="BR907"/>
      <c r="BS907"/>
      <c r="BT907" s="5"/>
      <c r="BW907" s="5"/>
      <c r="CH907" s="44"/>
    </row>
    <row r="908" spans="1:86" x14ac:dyDescent="0.2">
      <c r="A908" s="3" t="s">
        <v>30</v>
      </c>
      <c r="B908" s="39">
        <v>888</v>
      </c>
      <c r="C908" s="82"/>
      <c r="M908" s="16"/>
      <c r="O908" s="16"/>
      <c r="T908" s="16"/>
      <c r="AD908" s="16"/>
      <c r="AE908" s="16"/>
      <c r="AG908" s="16"/>
      <c r="AN908" s="16"/>
      <c r="AQ908" s="5"/>
      <c r="AT908" s="16"/>
      <c r="AX908" s="16"/>
      <c r="BC908" s="16">
        <v>3.3000000000000002E-2</v>
      </c>
      <c r="BD908" s="16"/>
      <c r="BE908" s="16"/>
      <c r="BF908" s="16"/>
      <c r="BH908" s="5"/>
      <c r="BI908" s="16">
        <v>7.0599999999999996E-2</v>
      </c>
      <c r="BK908" s="5"/>
      <c r="BN908" s="16"/>
      <c r="BP908"/>
      <c r="BQ908" s="5"/>
      <c r="BR908"/>
      <c r="BS908"/>
      <c r="BT908" s="5"/>
      <c r="BW908" s="5"/>
      <c r="CH908" s="44"/>
    </row>
    <row r="909" spans="1:86" x14ac:dyDescent="0.2">
      <c r="A909" s="3" t="s">
        <v>30</v>
      </c>
      <c r="B909" s="39">
        <v>889</v>
      </c>
      <c r="C909" s="82"/>
      <c r="M909" s="16"/>
      <c r="O909" s="16"/>
      <c r="T909" s="16"/>
      <c r="AD909" s="16"/>
      <c r="AE909" s="16"/>
      <c r="AG909" s="16"/>
      <c r="AN909" s="16"/>
      <c r="AQ909" s="5"/>
      <c r="AT909" s="16"/>
      <c r="AX909" s="16"/>
      <c r="BC909" s="16"/>
      <c r="BD909" s="16"/>
      <c r="BE909" s="16"/>
      <c r="BF909" s="16"/>
      <c r="BH909" s="5"/>
      <c r="BI909" s="16">
        <v>6.8000000000000005E-2</v>
      </c>
      <c r="BK909" s="5"/>
      <c r="BN909" s="16"/>
      <c r="BO909" s="16">
        <v>0.08</v>
      </c>
      <c r="BP909"/>
      <c r="BQ909" s="5"/>
      <c r="BR909"/>
      <c r="BS909"/>
      <c r="BT909" s="5"/>
      <c r="BW909" s="5"/>
      <c r="CH909" s="44"/>
    </row>
    <row r="910" spans="1:86" x14ac:dyDescent="0.2">
      <c r="A910" s="3" t="s">
        <v>30</v>
      </c>
      <c r="B910" s="39">
        <v>889</v>
      </c>
      <c r="C910" s="82"/>
      <c r="M910" s="16"/>
      <c r="O910" s="16"/>
      <c r="T910" s="16"/>
      <c r="AD910" s="16"/>
      <c r="AE910" s="16"/>
      <c r="AG910" s="16"/>
      <c r="AN910" s="16"/>
      <c r="AQ910" s="5"/>
      <c r="AT910" s="16"/>
      <c r="AX910" s="16"/>
      <c r="BC910" s="16"/>
      <c r="BD910" s="16"/>
      <c r="BE910" s="16"/>
      <c r="BF910" s="16"/>
      <c r="BH910" s="5"/>
      <c r="BI910" s="16">
        <v>0.106</v>
      </c>
      <c r="BK910" s="5"/>
      <c r="BN910" s="16"/>
      <c r="BO910" s="16">
        <v>8.4000000000000005E-2</v>
      </c>
      <c r="BP910"/>
      <c r="BQ910" s="5"/>
      <c r="BR910"/>
      <c r="BS910"/>
      <c r="BT910" s="5"/>
      <c r="BW910" s="5"/>
      <c r="CH910" s="44"/>
    </row>
    <row r="911" spans="1:86" x14ac:dyDescent="0.2">
      <c r="A911" s="3" t="s">
        <v>30</v>
      </c>
      <c r="B911" s="39">
        <v>890</v>
      </c>
      <c r="C911" s="82"/>
      <c r="M911" s="16"/>
      <c r="O911" s="16"/>
      <c r="T911" s="16"/>
      <c r="AD911" s="16"/>
      <c r="AE911" s="16"/>
      <c r="AG911" s="16"/>
      <c r="AN911" s="16"/>
      <c r="AQ911" s="5"/>
      <c r="AT911" s="16"/>
      <c r="AX911" s="16"/>
      <c r="BB911" s="16">
        <v>8.8999999999999996E-2</v>
      </c>
      <c r="BC911" s="16"/>
      <c r="BD911" s="16"/>
      <c r="BE911" s="16"/>
      <c r="BF911" s="16"/>
      <c r="BH911" s="5"/>
      <c r="BI911" s="16"/>
      <c r="BK911" s="5"/>
      <c r="BN911" s="16"/>
      <c r="BO911" s="16"/>
      <c r="BP911" s="16">
        <v>0.11700000000000001</v>
      </c>
      <c r="BQ911" s="5"/>
      <c r="BR911"/>
      <c r="BS911"/>
      <c r="BT911" s="5"/>
      <c r="BW911" s="5"/>
      <c r="CH911" s="44"/>
    </row>
    <row r="912" spans="1:86" x14ac:dyDescent="0.2">
      <c r="A912" s="3" t="s">
        <v>30</v>
      </c>
      <c r="B912" s="39">
        <v>891</v>
      </c>
      <c r="C912" s="82"/>
      <c r="M912" s="16"/>
      <c r="O912" s="16"/>
      <c r="T912" s="16"/>
      <c r="AD912" s="16"/>
      <c r="AE912" s="16"/>
      <c r="AG912" s="16"/>
      <c r="AN912" s="16"/>
      <c r="AQ912" s="5"/>
      <c r="AT912" s="16"/>
      <c r="AX912" s="16"/>
      <c r="BB912" s="16"/>
      <c r="BC912" s="16"/>
      <c r="BD912" s="16"/>
      <c r="BE912" s="16"/>
      <c r="BF912" s="16"/>
      <c r="BH912" s="5"/>
      <c r="BI912" s="16">
        <v>6.8000000000000005E-2</v>
      </c>
      <c r="BK912" s="5"/>
      <c r="BN912" s="16"/>
      <c r="BO912" s="16">
        <v>0.08</v>
      </c>
      <c r="BP912" s="16"/>
      <c r="BQ912" s="5"/>
      <c r="BR912"/>
      <c r="BS912" s="16">
        <v>0.10299999999999999</v>
      </c>
      <c r="BT912" s="5"/>
      <c r="BW912" s="5"/>
      <c r="CH912" s="44"/>
    </row>
    <row r="913" spans="1:86" x14ac:dyDescent="0.2">
      <c r="A913" s="3" t="s">
        <v>30</v>
      </c>
      <c r="B913" s="39">
        <v>892</v>
      </c>
      <c r="C913" s="82"/>
      <c r="M913" s="16"/>
      <c r="O913" s="16"/>
      <c r="T913" s="16"/>
      <c r="AD913" s="16"/>
      <c r="AE913" s="16"/>
      <c r="AG913" s="16"/>
      <c r="AN913" s="16"/>
      <c r="AQ913" s="5"/>
      <c r="AT913" s="16"/>
      <c r="AX913" s="16">
        <v>7.3000000000000001E-3</v>
      </c>
      <c r="BB913" s="16"/>
      <c r="BC913" s="16"/>
      <c r="BD913" s="16"/>
      <c r="BE913" s="16"/>
      <c r="BF913" s="16"/>
      <c r="BH913" s="16">
        <v>2.3300000000000001E-2</v>
      </c>
      <c r="BI913" s="16"/>
      <c r="BK913" s="5"/>
      <c r="BN913" s="16"/>
      <c r="BO913" s="16"/>
      <c r="BP913" s="16"/>
      <c r="BQ913" s="5"/>
      <c r="BR913"/>
      <c r="BS913" s="16"/>
      <c r="BT913" s="5"/>
      <c r="BW913" s="5"/>
      <c r="CH913" s="44"/>
    </row>
    <row r="914" spans="1:86" x14ac:dyDescent="0.2">
      <c r="A914" s="3" t="s">
        <v>30</v>
      </c>
      <c r="B914" s="39">
        <v>893</v>
      </c>
      <c r="C914" s="82"/>
      <c r="M914" s="16"/>
      <c r="O914" s="16"/>
      <c r="T914" s="16"/>
      <c r="AD914" s="16"/>
      <c r="AE914" s="16"/>
      <c r="AG914" s="16"/>
      <c r="AN914" s="16"/>
      <c r="AQ914" s="5"/>
      <c r="AT914" s="16"/>
      <c r="AX914" s="16"/>
      <c r="BB914" s="16"/>
      <c r="BC914" s="16"/>
      <c r="BD914" s="16"/>
      <c r="BE914" s="16"/>
      <c r="BF914" s="16"/>
      <c r="BH914" s="16"/>
      <c r="BI914" s="16"/>
      <c r="BK914" s="16">
        <v>0.02</v>
      </c>
      <c r="BN914" s="16"/>
      <c r="BO914" s="16"/>
      <c r="BP914" s="16"/>
      <c r="BQ914" s="16">
        <v>4.9000000000000002E-2</v>
      </c>
      <c r="BR914"/>
      <c r="BS914" s="16"/>
      <c r="BT914" s="5"/>
      <c r="BW914" s="5"/>
      <c r="CH914" s="44"/>
    </row>
    <row r="915" spans="1:86" x14ac:dyDescent="0.2">
      <c r="A915" s="3" t="s">
        <v>30</v>
      </c>
      <c r="B915" s="39">
        <v>894</v>
      </c>
      <c r="C915" s="82"/>
      <c r="M915" s="16"/>
      <c r="O915" s="16"/>
      <c r="T915" s="16"/>
      <c r="AD915" s="16"/>
      <c r="AE915" s="16"/>
      <c r="AG915" s="16"/>
      <c r="AN915" s="16"/>
      <c r="AQ915" s="5"/>
      <c r="AT915" s="16"/>
      <c r="AX915" s="16"/>
      <c r="BB915" s="16"/>
      <c r="BC915" s="16"/>
      <c r="BD915" s="16"/>
      <c r="BE915" s="16"/>
      <c r="BF915" s="16"/>
      <c r="BH915" s="16">
        <v>9.7000000000000003E-2</v>
      </c>
      <c r="BI915" s="16"/>
      <c r="BK915" s="16"/>
      <c r="BN915" s="16"/>
      <c r="BO915" s="16"/>
      <c r="BP915" s="16"/>
      <c r="BQ915" s="16"/>
      <c r="BR915"/>
      <c r="BS915" s="16">
        <v>0.10100000000000001</v>
      </c>
      <c r="BT915" s="5"/>
      <c r="BW915" s="5"/>
      <c r="CH915" s="44"/>
    </row>
    <row r="916" spans="1:86" x14ac:dyDescent="0.2">
      <c r="A916" s="3" t="s">
        <v>30</v>
      </c>
      <c r="B916" s="39">
        <v>894</v>
      </c>
      <c r="C916" s="82"/>
      <c r="M916" s="16"/>
      <c r="O916" s="16"/>
      <c r="T916" s="16"/>
      <c r="AD916" s="16"/>
      <c r="AE916" s="16"/>
      <c r="AG916" s="16"/>
      <c r="AN916" s="16"/>
      <c r="AQ916" s="5"/>
      <c r="AT916" s="16"/>
      <c r="AX916" s="16"/>
      <c r="BB916" s="16"/>
      <c r="BC916" s="16"/>
      <c r="BD916" s="16"/>
      <c r="BE916" s="16"/>
      <c r="BF916" s="16"/>
      <c r="BH916" s="16">
        <v>0.111</v>
      </c>
      <c r="BI916" s="16"/>
      <c r="BK916" s="16"/>
      <c r="BN916" s="16"/>
      <c r="BO916" s="16"/>
      <c r="BP916" s="16"/>
      <c r="BQ916" s="16"/>
      <c r="BR916"/>
      <c r="BS916" s="16">
        <v>9.4E-2</v>
      </c>
      <c r="BT916" s="5"/>
      <c r="BW916" s="5"/>
      <c r="CH916" s="44"/>
    </row>
    <row r="917" spans="1:86" x14ac:dyDescent="0.2">
      <c r="A917" s="3" t="s">
        <v>30</v>
      </c>
      <c r="B917" s="39">
        <v>894</v>
      </c>
      <c r="C917" s="82"/>
      <c r="M917" s="16"/>
      <c r="O917" s="16"/>
      <c r="T917" s="16"/>
      <c r="AD917" s="16"/>
      <c r="AE917" s="16"/>
      <c r="AG917" s="16"/>
      <c r="AN917" s="16"/>
      <c r="AQ917" s="5"/>
      <c r="AT917" s="16"/>
      <c r="AX917" s="16"/>
      <c r="BB917" s="16"/>
      <c r="BC917" s="16"/>
      <c r="BD917" s="16"/>
      <c r="BE917" s="16"/>
      <c r="BF917" s="16"/>
      <c r="BH917" s="16">
        <v>0.121</v>
      </c>
      <c r="BI917" s="16"/>
      <c r="BK917" s="16"/>
      <c r="BN917" s="16"/>
      <c r="BO917" s="16"/>
      <c r="BP917" s="16"/>
      <c r="BQ917" s="16"/>
      <c r="BR917"/>
      <c r="BS917" s="16">
        <v>9.5000000000000001E-2</v>
      </c>
      <c r="BT917" s="5"/>
      <c r="BW917" s="5"/>
      <c r="CH917" s="44"/>
    </row>
    <row r="918" spans="1:86" x14ac:dyDescent="0.2">
      <c r="A918" s="3" t="s">
        <v>30</v>
      </c>
      <c r="B918" s="39">
        <v>894</v>
      </c>
      <c r="C918" s="82"/>
      <c r="M918" s="16"/>
      <c r="O918" s="16"/>
      <c r="T918" s="16"/>
      <c r="AD918" s="16"/>
      <c r="AE918" s="16"/>
      <c r="AG918" s="16"/>
      <c r="AN918" s="16"/>
      <c r="AQ918" s="5"/>
      <c r="AT918" s="16"/>
      <c r="AX918" s="16"/>
      <c r="BB918" s="16"/>
      <c r="BC918" s="16"/>
      <c r="BD918" s="16"/>
      <c r="BE918" s="16"/>
      <c r="BF918" s="16"/>
      <c r="BH918" s="16">
        <v>0.11899999999999999</v>
      </c>
      <c r="BI918" s="16"/>
      <c r="BK918" s="16"/>
      <c r="BN918" s="16"/>
      <c r="BO918" s="16"/>
      <c r="BP918" s="16"/>
      <c r="BQ918" s="16"/>
      <c r="BR918"/>
      <c r="BS918" s="16">
        <v>0.123</v>
      </c>
      <c r="BT918" s="5"/>
      <c r="BW918" s="5"/>
      <c r="CH918" s="44"/>
    </row>
    <row r="919" spans="1:86" x14ac:dyDescent="0.2">
      <c r="A919" s="3" t="s">
        <v>30</v>
      </c>
      <c r="B919" s="39">
        <v>894</v>
      </c>
      <c r="C919" s="82"/>
      <c r="M919" s="16"/>
      <c r="O919" s="16"/>
      <c r="T919" s="16"/>
      <c r="AD919" s="16"/>
      <c r="AE919" s="16"/>
      <c r="AG919" s="16"/>
      <c r="AN919" s="16"/>
      <c r="AQ919" s="5"/>
      <c r="AT919" s="16"/>
      <c r="AX919" s="16"/>
      <c r="BB919" s="16"/>
      <c r="BC919" s="16"/>
      <c r="BD919" s="16"/>
      <c r="BE919" s="16"/>
      <c r="BF919" s="16"/>
      <c r="BH919" s="16">
        <v>0.11600000000000001</v>
      </c>
      <c r="BI919" s="16"/>
      <c r="BK919" s="16"/>
      <c r="BN919" s="16"/>
      <c r="BO919" s="16"/>
      <c r="BP919" s="16"/>
      <c r="BQ919" s="16"/>
      <c r="BR919"/>
      <c r="BS919" s="16">
        <v>0.15</v>
      </c>
      <c r="BT919" s="5"/>
      <c r="BW919" s="5"/>
      <c r="CH919" s="44"/>
    </row>
    <row r="920" spans="1:86" x14ac:dyDescent="0.2">
      <c r="A920" s="3" t="s">
        <v>30</v>
      </c>
      <c r="B920" s="39">
        <v>894</v>
      </c>
      <c r="C920" s="82"/>
      <c r="M920" s="16"/>
      <c r="O920" s="16"/>
      <c r="T920" s="16"/>
      <c r="AD920" s="16"/>
      <c r="AE920" s="16"/>
      <c r="AG920" s="16"/>
      <c r="AN920" s="16"/>
      <c r="AQ920" s="5"/>
      <c r="AT920" s="16"/>
      <c r="AX920" s="16"/>
      <c r="BB920" s="16"/>
      <c r="BC920" s="16"/>
      <c r="BD920" s="16"/>
      <c r="BE920" s="16"/>
      <c r="BF920" s="16"/>
      <c r="BH920" s="16">
        <v>0.11899999999999999</v>
      </c>
      <c r="BI920" s="16"/>
      <c r="BK920" s="16"/>
      <c r="BN920" s="16"/>
      <c r="BO920" s="16"/>
      <c r="BP920" s="16"/>
      <c r="BQ920" s="16"/>
      <c r="BR920"/>
      <c r="BS920" s="16">
        <v>0.157</v>
      </c>
      <c r="BT920" s="5"/>
      <c r="BW920" s="5"/>
      <c r="CH920" s="44"/>
    </row>
    <row r="921" spans="1:86" x14ac:dyDescent="0.2">
      <c r="A921" s="3" t="s">
        <v>30</v>
      </c>
      <c r="B921" s="39">
        <v>894</v>
      </c>
      <c r="C921" s="82"/>
      <c r="M921" s="16"/>
      <c r="O921" s="16"/>
      <c r="T921" s="16"/>
      <c r="AD921" s="16"/>
      <c r="AE921" s="16"/>
      <c r="AG921" s="16"/>
      <c r="AN921" s="16"/>
      <c r="AQ921" s="5"/>
      <c r="AT921" s="16"/>
      <c r="AX921" s="16"/>
      <c r="BB921" s="16"/>
      <c r="BC921" s="16"/>
      <c r="BD921" s="16"/>
      <c r="BE921" s="16"/>
      <c r="BF921" s="16"/>
      <c r="BH921" s="16">
        <v>0.113</v>
      </c>
      <c r="BI921" s="16"/>
      <c r="BK921" s="16"/>
      <c r="BN921" s="16"/>
      <c r="BO921" s="16"/>
      <c r="BP921" s="16"/>
      <c r="BQ921" s="16"/>
      <c r="BR921"/>
      <c r="BS921" s="16">
        <v>0.20899999999999999</v>
      </c>
      <c r="BT921" s="5"/>
      <c r="BW921" s="5"/>
      <c r="CH921" s="44"/>
    </row>
    <row r="922" spans="1:86" x14ac:dyDescent="0.2">
      <c r="A922" s="3" t="s">
        <v>30</v>
      </c>
      <c r="B922" s="39">
        <v>873</v>
      </c>
      <c r="C922" s="82"/>
      <c r="M922" s="16"/>
      <c r="O922" s="16"/>
      <c r="T922" s="16"/>
      <c r="AD922" s="16"/>
      <c r="AE922" s="16"/>
      <c r="AG922" s="16"/>
      <c r="AN922" s="16">
        <v>1.7000000000000001E-2</v>
      </c>
      <c r="AQ922" s="5"/>
      <c r="AT922" s="16"/>
      <c r="AX922" s="16"/>
      <c r="BB922" s="16"/>
      <c r="BC922" s="16"/>
      <c r="BD922" s="16"/>
      <c r="BE922" s="16"/>
      <c r="BF922" s="16"/>
      <c r="BH922" s="16"/>
      <c r="BI922" s="16"/>
      <c r="BK922" s="16"/>
      <c r="BL922" s="16">
        <v>2.1999999999999999E-2</v>
      </c>
      <c r="BN922" s="16"/>
      <c r="BO922" s="16"/>
      <c r="BP922" s="16"/>
      <c r="BQ922" s="16"/>
      <c r="BR922"/>
      <c r="BS922" s="16"/>
      <c r="BT922" s="5"/>
      <c r="BW922" s="5"/>
      <c r="CH922" s="44"/>
    </row>
    <row r="923" spans="1:86" x14ac:dyDescent="0.2">
      <c r="A923" s="3" t="s">
        <v>30</v>
      </c>
      <c r="B923" s="39">
        <v>873</v>
      </c>
      <c r="C923" s="82"/>
      <c r="M923" s="16"/>
      <c r="O923" s="16"/>
      <c r="T923" s="16"/>
      <c r="AD923" s="16"/>
      <c r="AE923" s="16"/>
      <c r="AG923" s="16"/>
      <c r="AN923" s="16">
        <v>4.4999999999999998E-2</v>
      </c>
      <c r="AQ923" s="5"/>
      <c r="AT923" s="16"/>
      <c r="AX923" s="16"/>
      <c r="BB923" s="16"/>
      <c r="BC923" s="16"/>
      <c r="BD923" s="16"/>
      <c r="BE923" s="16"/>
      <c r="BF923" s="16"/>
      <c r="BH923" s="16"/>
      <c r="BI923" s="16"/>
      <c r="BK923" s="16"/>
      <c r="BL923" s="16">
        <v>5.3999999999999999E-2</v>
      </c>
      <c r="BN923" s="16"/>
      <c r="BO923" s="16"/>
      <c r="BP923" s="16"/>
      <c r="BQ923" s="16"/>
      <c r="BR923"/>
      <c r="BS923" s="16"/>
      <c r="BT923" s="5"/>
      <c r="BW923" s="5"/>
      <c r="CH923" s="44"/>
    </row>
    <row r="924" spans="1:86" x14ac:dyDescent="0.2">
      <c r="A924" s="3" t="s">
        <v>30</v>
      </c>
      <c r="B924" s="39">
        <v>873</v>
      </c>
      <c r="C924" s="82"/>
      <c r="M924" s="16"/>
      <c r="O924" s="16"/>
      <c r="T924" s="16"/>
      <c r="AD924" s="16"/>
      <c r="AE924" s="16"/>
      <c r="AG924" s="16"/>
      <c r="AN924" s="16">
        <v>4.5999999999999999E-2</v>
      </c>
      <c r="AQ924" s="5"/>
      <c r="AT924" s="16"/>
      <c r="AX924" s="16"/>
      <c r="BB924" s="16"/>
      <c r="BC924" s="16"/>
      <c r="BD924" s="16"/>
      <c r="BE924" s="16"/>
      <c r="BF924" s="16"/>
      <c r="BH924" s="16"/>
      <c r="BI924" s="16"/>
      <c r="BK924" s="16"/>
      <c r="BL924" s="16">
        <v>0.03</v>
      </c>
      <c r="BN924" s="16"/>
      <c r="BO924" s="16"/>
      <c r="BP924" s="16"/>
      <c r="BQ924" s="16"/>
      <c r="BR924"/>
      <c r="BS924" s="16"/>
      <c r="BT924" s="5"/>
      <c r="BW924" s="5"/>
      <c r="CH924" s="44"/>
    </row>
    <row r="925" spans="1:86" x14ac:dyDescent="0.2">
      <c r="A925" s="3" t="s">
        <v>30</v>
      </c>
      <c r="B925" s="39">
        <v>873</v>
      </c>
      <c r="C925" s="82"/>
      <c r="M925" s="16"/>
      <c r="O925" s="16"/>
      <c r="T925" s="16"/>
      <c r="AD925" s="16"/>
      <c r="AE925" s="16"/>
      <c r="AG925" s="16"/>
      <c r="AN925" s="16">
        <v>4.4999999999999998E-2</v>
      </c>
      <c r="AQ925" s="5"/>
      <c r="AT925" s="16"/>
      <c r="AX925" s="16"/>
      <c r="BB925" s="16"/>
      <c r="BC925" s="16"/>
      <c r="BD925" s="16"/>
      <c r="BE925" s="16"/>
      <c r="BF925" s="16"/>
      <c r="BH925" s="16"/>
      <c r="BI925" s="16"/>
      <c r="BK925" s="16"/>
      <c r="BL925" s="16">
        <v>6.4000000000000001E-2</v>
      </c>
      <c r="BN925" s="16"/>
      <c r="BO925" s="16"/>
      <c r="BP925" s="16"/>
      <c r="BQ925" s="16"/>
      <c r="BR925"/>
      <c r="BS925" s="16"/>
      <c r="BT925" s="5"/>
      <c r="BW925" s="5"/>
      <c r="CH925" s="44"/>
    </row>
    <row r="926" spans="1:86" x14ac:dyDescent="0.2">
      <c r="A926" s="3" t="s">
        <v>30</v>
      </c>
      <c r="B926" s="39">
        <v>816</v>
      </c>
      <c r="C926" s="82"/>
      <c r="M926" s="16"/>
      <c r="O926" s="16"/>
      <c r="T926" s="16"/>
      <c r="AD926" s="16"/>
      <c r="AE926" s="16"/>
      <c r="AG926" s="16"/>
      <c r="AN926" s="16"/>
      <c r="AQ926" s="5"/>
      <c r="AT926" s="16"/>
      <c r="AX926" s="16"/>
      <c r="BA926" s="16">
        <v>4.3999999999999997E-2</v>
      </c>
      <c r="BB926" s="16"/>
      <c r="BC926" s="16"/>
      <c r="BD926" s="16"/>
      <c r="BE926" s="16"/>
      <c r="BF926" s="16"/>
      <c r="BH926" s="16"/>
      <c r="BI926" s="16"/>
      <c r="BK926" s="16"/>
      <c r="BL926" s="16"/>
      <c r="BN926" s="16"/>
      <c r="BO926" s="16"/>
      <c r="BP926" s="16"/>
      <c r="BQ926" s="16"/>
      <c r="BR926"/>
      <c r="BS926" s="16"/>
      <c r="BT926" s="5"/>
      <c r="BU926" s="16">
        <v>4.3999999999999997E-2</v>
      </c>
      <c r="BW926" s="5"/>
      <c r="CH926" s="44"/>
    </row>
    <row r="927" spans="1:86" x14ac:dyDescent="0.2">
      <c r="A927" s="3" t="s">
        <v>30</v>
      </c>
      <c r="B927" s="39">
        <v>895</v>
      </c>
      <c r="C927" s="82"/>
      <c r="M927" s="16"/>
      <c r="O927" s="16"/>
      <c r="T927" s="16"/>
      <c r="AD927" s="16"/>
      <c r="AE927" s="16"/>
      <c r="AG927" s="16"/>
      <c r="AN927" s="16"/>
      <c r="AQ927" s="5"/>
      <c r="AT927" s="16"/>
      <c r="AX927" s="16"/>
      <c r="BA927" s="16"/>
      <c r="BB927" s="16"/>
      <c r="BC927" s="16"/>
      <c r="BD927" s="16"/>
      <c r="BE927" s="16">
        <v>5.5E-2</v>
      </c>
      <c r="BF927" s="16"/>
      <c r="BH927" s="16"/>
      <c r="BI927" s="16"/>
      <c r="BK927" s="16"/>
      <c r="BL927" s="16"/>
      <c r="BN927" s="16"/>
      <c r="BO927" s="16"/>
      <c r="BP927" s="16"/>
      <c r="BQ927" s="16"/>
      <c r="BR927"/>
      <c r="BS927" s="16"/>
      <c r="BT927" s="5"/>
      <c r="BU927" s="16"/>
      <c r="BV927" s="16">
        <v>7.0999999999999994E-2</v>
      </c>
      <c r="BW927" s="5"/>
      <c r="CH927" s="44"/>
    </row>
    <row r="928" spans="1:86" x14ac:dyDescent="0.2">
      <c r="A928" s="3" t="s">
        <v>30</v>
      </c>
      <c r="B928" s="39">
        <v>896</v>
      </c>
      <c r="C928" s="82"/>
      <c r="M928" s="16"/>
      <c r="O928" s="16"/>
      <c r="T928" s="16"/>
      <c r="AD928" s="16"/>
      <c r="AE928" s="16"/>
      <c r="AG928" s="16"/>
      <c r="AN928" s="16"/>
      <c r="AQ928" s="5"/>
      <c r="AT928" s="16"/>
      <c r="AX928" s="16"/>
      <c r="BA928" s="16"/>
      <c r="BB928" s="16"/>
      <c r="BC928" s="16"/>
      <c r="BD928" s="16"/>
      <c r="BE928" s="16"/>
      <c r="BF928" s="16"/>
      <c r="BH928" s="16"/>
      <c r="BI928" s="16"/>
      <c r="BK928" s="16"/>
      <c r="BL928" s="16"/>
      <c r="BN928" s="16"/>
      <c r="BO928" s="16"/>
      <c r="BP928" s="16">
        <v>8.6999999999999994E-2</v>
      </c>
      <c r="BQ928" s="16"/>
      <c r="BR928"/>
      <c r="BS928" s="16"/>
      <c r="BT928" s="5"/>
      <c r="BU928" s="16"/>
      <c r="BV928" s="16"/>
      <c r="BW928" s="5"/>
      <c r="BY928" s="16">
        <v>0.113</v>
      </c>
      <c r="CH928" s="44"/>
    </row>
    <row r="929" spans="1:86" x14ac:dyDescent="0.2">
      <c r="A929" s="3" t="s">
        <v>30</v>
      </c>
      <c r="B929" s="39">
        <v>896</v>
      </c>
      <c r="C929" s="82"/>
      <c r="M929" s="16"/>
      <c r="O929" s="16"/>
      <c r="T929" s="16"/>
      <c r="AD929" s="16"/>
      <c r="AE929" s="16"/>
      <c r="AG929" s="16"/>
      <c r="AN929" s="16"/>
      <c r="AQ929" s="5"/>
      <c r="AT929" s="16"/>
      <c r="AX929" s="16"/>
      <c r="BA929" s="16"/>
      <c r="BB929" s="16"/>
      <c r="BC929" s="16"/>
      <c r="BD929" s="16"/>
      <c r="BE929" s="16"/>
      <c r="BF929" s="16"/>
      <c r="BH929" s="16"/>
      <c r="BI929" s="16"/>
      <c r="BK929" s="16"/>
      <c r="BL929" s="16"/>
      <c r="BN929" s="16"/>
      <c r="BO929" s="16"/>
      <c r="BP929" s="16">
        <v>8.7999999999999995E-2</v>
      </c>
      <c r="BQ929" s="16"/>
      <c r="BR929"/>
      <c r="BS929" s="16"/>
      <c r="BT929" s="5"/>
      <c r="BU929" s="16"/>
      <c r="BV929" s="16"/>
      <c r="BW929" s="5"/>
      <c r="BY929" s="16">
        <v>9.6000000000000002E-2</v>
      </c>
      <c r="CH929" s="44"/>
    </row>
    <row r="930" spans="1:86" x14ac:dyDescent="0.2">
      <c r="A930" s="3" t="s">
        <v>30</v>
      </c>
      <c r="B930" s="39">
        <v>897</v>
      </c>
      <c r="C930" s="82"/>
      <c r="M930" s="16"/>
      <c r="O930" s="16"/>
      <c r="T930" s="16"/>
      <c r="AD930" s="16"/>
      <c r="AE930" s="16"/>
      <c r="AG930" s="16"/>
      <c r="AN930" s="16"/>
      <c r="AQ930" s="5"/>
      <c r="AT930" s="16"/>
      <c r="AX930" s="16"/>
      <c r="BA930" s="16"/>
      <c r="BB930" s="16"/>
      <c r="BC930" s="16"/>
      <c r="BD930" s="16"/>
      <c r="BE930" s="16"/>
      <c r="BF930" s="16"/>
      <c r="BH930" s="16"/>
      <c r="BI930" s="16"/>
      <c r="BK930" s="16"/>
      <c r="BL930" s="16"/>
      <c r="BN930" s="16"/>
      <c r="BO930" s="16"/>
      <c r="BP930" s="16">
        <v>0.29239999999999999</v>
      </c>
      <c r="BQ930" s="16"/>
      <c r="BR930"/>
      <c r="BS930" s="16"/>
      <c r="BT930" s="5"/>
      <c r="BU930" s="16"/>
      <c r="BV930" s="16"/>
      <c r="BW930" s="5"/>
      <c r="BX930" s="16">
        <v>0.25240000000000001</v>
      </c>
      <c r="BY930" s="16"/>
      <c r="CH930" s="44"/>
    </row>
    <row r="931" spans="1:86" x14ac:dyDescent="0.2">
      <c r="A931" s="3" t="s">
        <v>30</v>
      </c>
      <c r="B931" s="39">
        <v>897</v>
      </c>
      <c r="C931" s="82"/>
      <c r="M931" s="16"/>
      <c r="O931" s="16"/>
      <c r="T931" s="16"/>
      <c r="AD931" s="16"/>
      <c r="AE931" s="16"/>
      <c r="AG931" s="16"/>
      <c r="AN931" s="16"/>
      <c r="AQ931" s="5"/>
      <c r="AT931" s="16"/>
      <c r="AX931" s="16"/>
      <c r="BA931" s="16"/>
      <c r="BB931" s="16"/>
      <c r="BC931" s="16"/>
      <c r="BD931" s="16"/>
      <c r="BE931" s="16"/>
      <c r="BF931" s="16"/>
      <c r="BH931" s="16"/>
      <c r="BI931" s="16"/>
      <c r="BK931" s="16"/>
      <c r="BL931" s="16"/>
      <c r="BN931" s="16"/>
      <c r="BO931" s="16"/>
      <c r="BP931" s="16">
        <v>0.37090000000000001</v>
      </c>
      <c r="BQ931" s="16"/>
      <c r="BR931"/>
      <c r="BS931" s="16"/>
      <c r="BT931" s="5"/>
      <c r="BU931" s="16"/>
      <c r="BV931" s="16"/>
      <c r="BW931" s="5"/>
      <c r="BX931" s="16">
        <v>0.3664</v>
      </c>
      <c r="BY931" s="16"/>
      <c r="CH931" s="44"/>
    </row>
    <row r="932" spans="1:86" x14ac:dyDescent="0.2">
      <c r="A932" s="3" t="s">
        <v>30</v>
      </c>
      <c r="B932" s="39">
        <v>897</v>
      </c>
      <c r="C932" s="82"/>
      <c r="M932" s="16"/>
      <c r="O932" s="16"/>
      <c r="T932" s="16"/>
      <c r="AD932" s="16"/>
      <c r="AE932" s="16"/>
      <c r="AG932" s="16"/>
      <c r="AN932" s="16"/>
      <c r="AQ932" s="5"/>
      <c r="AT932" s="16"/>
      <c r="AX932" s="16"/>
      <c r="BA932" s="16"/>
      <c r="BB932" s="16"/>
      <c r="BC932" s="16"/>
      <c r="BD932" s="16"/>
      <c r="BE932" s="16"/>
      <c r="BF932" s="16"/>
      <c r="BH932" s="16"/>
      <c r="BI932" s="16"/>
      <c r="BK932" s="16"/>
      <c r="BL932" s="16"/>
      <c r="BN932" s="16"/>
      <c r="BO932" s="16"/>
      <c r="BP932" s="16">
        <v>0.3367</v>
      </c>
      <c r="BQ932" s="16"/>
      <c r="BR932"/>
      <c r="BS932" s="16"/>
      <c r="BT932" s="5"/>
      <c r="BU932" s="16"/>
      <c r="BV932" s="16"/>
      <c r="BW932" s="5"/>
      <c r="BX932" s="16">
        <v>0.38119999999999998</v>
      </c>
      <c r="BY932" s="16"/>
      <c r="CH932" s="44"/>
    </row>
    <row r="933" spans="1:86" x14ac:dyDescent="0.2">
      <c r="A933" s="3" t="s">
        <v>30</v>
      </c>
      <c r="B933" s="39">
        <v>898</v>
      </c>
      <c r="C933" s="82"/>
      <c r="M933" s="16"/>
      <c r="O933" s="16"/>
      <c r="T933" s="16"/>
      <c r="AD933" s="16"/>
      <c r="AE933" s="16"/>
      <c r="AG933" s="16"/>
      <c r="AN933" s="16"/>
      <c r="AQ933" s="5"/>
      <c r="AT933" s="16"/>
      <c r="AX933" s="16"/>
      <c r="BA933" s="16"/>
      <c r="BB933" s="16"/>
      <c r="BC933" s="16"/>
      <c r="BD933" s="16"/>
      <c r="BE933" s="16"/>
      <c r="BF933" s="16"/>
      <c r="BH933" s="16"/>
      <c r="BI933" s="16"/>
      <c r="BK933" s="16"/>
      <c r="BL933" s="16"/>
      <c r="BN933" s="16"/>
      <c r="BO933" s="16">
        <v>0.155</v>
      </c>
      <c r="BP933" s="16"/>
      <c r="BQ933" s="16"/>
      <c r="BR933"/>
      <c r="BS933" s="16">
        <v>0.13600000000000001</v>
      </c>
      <c r="BT933" s="5"/>
      <c r="BU933" s="16"/>
      <c r="BV933" s="16"/>
      <c r="BW933" s="16">
        <v>0.115</v>
      </c>
      <c r="BX933" s="16"/>
      <c r="BY933" s="16"/>
      <c r="CH933" s="44"/>
    </row>
    <row r="934" spans="1:86" x14ac:dyDescent="0.2">
      <c r="A934" s="3" t="s">
        <v>30</v>
      </c>
      <c r="B934" s="39">
        <v>899</v>
      </c>
      <c r="C934" s="82"/>
      <c r="M934" s="16"/>
      <c r="O934" s="16"/>
      <c r="T934" s="16"/>
      <c r="AD934" s="16"/>
      <c r="AE934" s="16"/>
      <c r="AG934" s="16"/>
      <c r="AN934" s="16"/>
      <c r="AQ934" s="5"/>
      <c r="AT934" s="16"/>
      <c r="AX934" s="16"/>
      <c r="BA934" s="16"/>
      <c r="BB934" s="16"/>
      <c r="BC934" s="16"/>
      <c r="BD934" s="16"/>
      <c r="BE934" s="16"/>
      <c r="BF934" s="16"/>
      <c r="BH934" s="16"/>
      <c r="BI934" s="16"/>
      <c r="BK934" s="16"/>
      <c r="BL934" s="16"/>
      <c r="BN934" s="16"/>
      <c r="BO934" s="16"/>
      <c r="BP934" s="16"/>
      <c r="BQ934" s="16"/>
      <c r="BR934"/>
      <c r="BS934" s="16">
        <v>5.7000000000000002E-2</v>
      </c>
      <c r="BT934" s="5"/>
      <c r="BU934" s="16"/>
      <c r="BV934" s="16"/>
      <c r="BW934" s="16"/>
      <c r="BX934" s="16"/>
      <c r="BY934" s="16"/>
      <c r="CA934" s="16">
        <v>5.3999999999999999E-2</v>
      </c>
      <c r="CH934" s="44"/>
    </row>
    <row r="935" spans="1:86" x14ac:dyDescent="0.2">
      <c r="A935" s="3" t="s">
        <v>30</v>
      </c>
      <c r="B935" s="39">
        <v>899</v>
      </c>
      <c r="C935" s="82"/>
      <c r="M935" s="16"/>
      <c r="O935" s="16"/>
      <c r="T935" s="16"/>
      <c r="AD935" s="16"/>
      <c r="AE935" s="16"/>
      <c r="AG935" s="16"/>
      <c r="AN935" s="16"/>
      <c r="AQ935" s="5"/>
      <c r="AT935" s="16"/>
      <c r="AX935" s="16"/>
      <c r="BA935" s="16"/>
      <c r="BB935" s="16"/>
      <c r="BC935" s="16"/>
      <c r="BD935" s="16"/>
      <c r="BE935" s="16"/>
      <c r="BF935" s="16"/>
      <c r="BH935" s="16"/>
      <c r="BI935" s="16"/>
      <c r="BK935" s="16"/>
      <c r="BL935" s="16"/>
      <c r="BN935" s="16"/>
      <c r="BO935" s="16"/>
      <c r="BP935" s="16"/>
      <c r="BQ935" s="16"/>
      <c r="BR935"/>
      <c r="BS935" s="16">
        <v>0.104</v>
      </c>
      <c r="BT935" s="5"/>
      <c r="BU935" s="16"/>
      <c r="BV935" s="16"/>
      <c r="BW935" s="16"/>
      <c r="BX935" s="16"/>
      <c r="BY935" s="16"/>
      <c r="CA935" s="16">
        <v>9.2999999999999999E-2</v>
      </c>
      <c r="CH935" s="44"/>
    </row>
    <row r="936" spans="1:86" x14ac:dyDescent="0.2">
      <c r="A936" s="3" t="s">
        <v>30</v>
      </c>
      <c r="B936" s="39">
        <v>817</v>
      </c>
      <c r="C936" s="82"/>
      <c r="M936" s="16"/>
      <c r="O936" s="16"/>
      <c r="T936" s="16"/>
      <c r="AD936" s="16"/>
      <c r="AE936" s="16"/>
      <c r="AG936" s="16"/>
      <c r="AN936" s="16"/>
      <c r="AQ936" s="5"/>
      <c r="AT936" s="16"/>
      <c r="AX936" s="16"/>
      <c r="BA936" s="16"/>
      <c r="BB936" s="16"/>
      <c r="BC936" s="16"/>
      <c r="BD936" s="16"/>
      <c r="BE936" s="16"/>
      <c r="BF936" s="16"/>
      <c r="BH936" s="16"/>
      <c r="BI936" s="16"/>
      <c r="BK936" s="16">
        <v>5.4399999999999997E-2</v>
      </c>
      <c r="BL936" s="16"/>
      <c r="BN936" s="16"/>
      <c r="BO936" s="16"/>
      <c r="BP936" s="16"/>
      <c r="BQ936" s="16"/>
      <c r="BR936"/>
      <c r="BS936" s="16"/>
      <c r="BT936" s="5"/>
      <c r="BU936" s="16">
        <v>5.3499999999999999E-2</v>
      </c>
      <c r="BV936" s="16"/>
      <c r="BW936" s="16"/>
      <c r="BX936" s="16"/>
      <c r="BY936" s="16"/>
      <c r="CA936" s="16"/>
      <c r="CH936" s="44"/>
    </row>
    <row r="937" spans="1:86" x14ac:dyDescent="0.2">
      <c r="A937" s="3" t="s">
        <v>30</v>
      </c>
      <c r="B937" s="39">
        <v>817</v>
      </c>
      <c r="C937" s="82"/>
      <c r="M937" s="16"/>
      <c r="O937" s="16"/>
      <c r="T937" s="16"/>
      <c r="AD937" s="16"/>
      <c r="AE937" s="16"/>
      <c r="AG937" s="16"/>
      <c r="AN937" s="16"/>
      <c r="AQ937" s="5"/>
      <c r="AT937" s="16"/>
      <c r="AX937" s="16"/>
      <c r="BA937" s="16"/>
      <c r="BB937" s="16"/>
      <c r="BC937" s="16"/>
      <c r="BD937" s="16"/>
      <c r="BE937" s="16"/>
      <c r="BF937" s="16"/>
      <c r="BH937" s="16"/>
      <c r="BI937" s="16"/>
      <c r="BK937" s="16">
        <v>4.8000000000000001E-2</v>
      </c>
      <c r="BL937" s="16"/>
      <c r="BN937" s="16"/>
      <c r="BO937" s="16"/>
      <c r="BP937" s="16"/>
      <c r="BQ937" s="16"/>
      <c r="BR937"/>
      <c r="BS937" s="16"/>
      <c r="BT937" s="5"/>
      <c r="BU937" s="16">
        <v>7.3200000000000001E-2</v>
      </c>
      <c r="BV937" s="16"/>
      <c r="BW937" s="16"/>
      <c r="BX937" s="16"/>
      <c r="BY937" s="16"/>
      <c r="CA937" s="16"/>
      <c r="CH937" s="44"/>
    </row>
    <row r="938" spans="1:86" x14ac:dyDescent="0.2">
      <c r="A938" s="3" t="s">
        <v>30</v>
      </c>
      <c r="B938" s="39">
        <v>900</v>
      </c>
      <c r="C938" s="82"/>
      <c r="M938" s="16"/>
      <c r="O938" s="16"/>
      <c r="T938" s="16"/>
      <c r="AD938" s="16"/>
      <c r="AE938" s="16"/>
      <c r="AG938" s="16"/>
      <c r="AN938" s="16"/>
      <c r="AQ938" s="5"/>
      <c r="AT938" s="16"/>
      <c r="AX938" s="16"/>
      <c r="BA938" s="16"/>
      <c r="BB938" s="16"/>
      <c r="BC938" s="16">
        <v>7.1999999999999995E-2</v>
      </c>
      <c r="BD938" s="16"/>
      <c r="BE938" s="16"/>
      <c r="BF938" s="16"/>
      <c r="BH938" s="16"/>
      <c r="BI938" s="16"/>
      <c r="BK938" s="16"/>
      <c r="BL938" s="16"/>
      <c r="BM938" s="16">
        <v>8.6999999999999994E-2</v>
      </c>
      <c r="BN938" s="16"/>
      <c r="BO938" s="16"/>
      <c r="BP938" s="16"/>
      <c r="BQ938" s="16"/>
      <c r="BR938"/>
      <c r="BS938" s="16"/>
      <c r="BT938" s="5"/>
      <c r="BU938" s="16"/>
      <c r="BV938" s="16"/>
      <c r="BW938" s="16">
        <v>6.2E-2</v>
      </c>
      <c r="BX938" s="16"/>
      <c r="BY938" s="16"/>
      <c r="CA938" s="16"/>
      <c r="CH938" s="44"/>
    </row>
    <row r="939" spans="1:86" x14ac:dyDescent="0.2">
      <c r="A939" s="3" t="s">
        <v>30</v>
      </c>
      <c r="B939" s="39">
        <v>900</v>
      </c>
      <c r="C939" s="82"/>
      <c r="M939" s="16"/>
      <c r="O939" s="16"/>
      <c r="T939" s="16"/>
      <c r="AD939" s="16"/>
      <c r="AE939" s="16"/>
      <c r="AG939" s="16"/>
      <c r="AN939" s="16"/>
      <c r="AQ939" s="5"/>
      <c r="AT939" s="16"/>
      <c r="AX939" s="16"/>
      <c r="BA939" s="16"/>
      <c r="BB939" s="16"/>
      <c r="BC939" s="16">
        <v>2.1000000000000001E-2</v>
      </c>
      <c r="BD939" s="16"/>
      <c r="BE939" s="16"/>
      <c r="BF939" s="16"/>
      <c r="BH939" s="16"/>
      <c r="BI939" s="16"/>
      <c r="BK939" s="16"/>
      <c r="BL939" s="16"/>
      <c r="BM939" s="16">
        <v>3.9E-2</v>
      </c>
      <c r="BN939" s="16"/>
      <c r="BO939" s="16"/>
      <c r="BP939" s="16"/>
      <c r="BQ939" s="16"/>
      <c r="BR939"/>
      <c r="BS939" s="16"/>
      <c r="BT939" s="5"/>
      <c r="BU939" s="16"/>
      <c r="BV939" s="16"/>
      <c r="BW939" s="16">
        <v>3.7999999999999999E-2</v>
      </c>
      <c r="BX939" s="16"/>
      <c r="BY939" s="16"/>
      <c r="CA939" s="16"/>
      <c r="CH939" s="44"/>
    </row>
    <row r="940" spans="1:86" x14ac:dyDescent="0.2">
      <c r="A940" s="3" t="s">
        <v>30</v>
      </c>
      <c r="B940" s="39">
        <v>901</v>
      </c>
      <c r="C940" s="82"/>
      <c r="M940" s="16"/>
      <c r="O940" s="16"/>
      <c r="T940" s="16"/>
      <c r="AD940" s="16"/>
      <c r="AE940" s="16"/>
      <c r="AG940" s="16"/>
      <c r="AN940" s="16"/>
      <c r="AQ940" s="5"/>
      <c r="AT940" s="16"/>
      <c r="AX940" s="16"/>
      <c r="BA940" s="16"/>
      <c r="BB940" s="16"/>
      <c r="BC940" s="16"/>
      <c r="BD940" s="16"/>
      <c r="BE940" s="16"/>
      <c r="BF940" s="16"/>
      <c r="BH940" s="16"/>
      <c r="BI940" s="16"/>
      <c r="BJ940" s="16">
        <v>4.9000000000000002E-2</v>
      </c>
      <c r="BK940" s="16"/>
      <c r="BL940" s="16"/>
      <c r="BM940" s="16"/>
      <c r="BN940" s="16"/>
      <c r="BO940" s="16"/>
      <c r="BP940" s="16"/>
      <c r="BQ940" s="16"/>
      <c r="BR940"/>
      <c r="BS940" s="16"/>
      <c r="BT940" s="5"/>
      <c r="BU940" s="16"/>
      <c r="BV940" s="16"/>
      <c r="BW940" s="16">
        <v>4.2000000000000003E-2</v>
      </c>
      <c r="BX940" s="16"/>
      <c r="BY940" s="16"/>
      <c r="CA940" s="16"/>
      <c r="CH940" s="44"/>
    </row>
    <row r="941" spans="1:86" x14ac:dyDescent="0.2">
      <c r="A941" s="3" t="s">
        <v>30</v>
      </c>
      <c r="B941" s="39">
        <v>901</v>
      </c>
      <c r="C941" s="82"/>
      <c r="M941" s="16"/>
      <c r="O941" s="16"/>
      <c r="T941" s="16"/>
      <c r="AD941" s="16"/>
      <c r="AE941" s="16"/>
      <c r="AG941" s="16"/>
      <c r="AN941" s="16"/>
      <c r="AQ941" s="5"/>
      <c r="AT941" s="16"/>
      <c r="AX941" s="16"/>
      <c r="BA941" s="16"/>
      <c r="BB941" s="16"/>
      <c r="BC941" s="16"/>
      <c r="BD941" s="16"/>
      <c r="BE941" s="16"/>
      <c r="BF941" s="16"/>
      <c r="BH941" s="16"/>
      <c r="BI941" s="16"/>
      <c r="BJ941" s="16">
        <v>0.1</v>
      </c>
      <c r="BK941" s="16"/>
      <c r="BL941" s="16"/>
      <c r="BM941" s="16"/>
      <c r="BN941" s="16"/>
      <c r="BO941" s="16"/>
      <c r="BP941" s="16"/>
      <c r="BQ941" s="16"/>
      <c r="BR941"/>
      <c r="BS941" s="16"/>
      <c r="BT941" s="5"/>
      <c r="BU941" s="16"/>
      <c r="BV941" s="16"/>
      <c r="BW941" s="16">
        <v>0.105</v>
      </c>
      <c r="BX941" s="16"/>
      <c r="BY941" s="16"/>
      <c r="CA941" s="16"/>
      <c r="CH941" s="44"/>
    </row>
    <row r="942" spans="1:86" x14ac:dyDescent="0.2">
      <c r="A942" s="3" t="s">
        <v>30</v>
      </c>
      <c r="B942" s="39">
        <v>902</v>
      </c>
      <c r="C942" s="82"/>
      <c r="M942" s="16"/>
      <c r="O942" s="16"/>
      <c r="T942" s="16"/>
      <c r="AD942" s="16"/>
      <c r="AE942" s="16"/>
      <c r="AG942" s="16"/>
      <c r="AN942" s="16"/>
      <c r="AQ942" s="5"/>
      <c r="AT942" s="16"/>
      <c r="AX942" s="16"/>
      <c r="BA942" s="16"/>
      <c r="BB942" s="16"/>
      <c r="BC942" s="16"/>
      <c r="BD942" s="16"/>
      <c r="BE942" s="16"/>
      <c r="BF942" s="16"/>
      <c r="BH942" s="16"/>
      <c r="BI942" s="16"/>
      <c r="BJ942" s="16"/>
      <c r="BK942" s="16"/>
      <c r="BL942" s="16"/>
      <c r="BM942" s="16"/>
      <c r="BN942" s="16"/>
      <c r="BO942" s="16"/>
      <c r="BP942" s="16">
        <v>6.6000000000000003E-2</v>
      </c>
      <c r="BQ942" s="16"/>
      <c r="BR942"/>
      <c r="BS942" s="16"/>
      <c r="BT942" s="5"/>
      <c r="BU942" s="16"/>
      <c r="BV942" s="16"/>
      <c r="BW942" s="16"/>
      <c r="BX942" s="16"/>
      <c r="BY942" s="16"/>
      <c r="BZ942" s="16">
        <v>7.2999999999999995E-2</v>
      </c>
      <c r="CA942" s="16"/>
      <c r="CH942" s="44"/>
    </row>
    <row r="943" spans="1:86" x14ac:dyDescent="0.2">
      <c r="A943" s="3" t="s">
        <v>30</v>
      </c>
      <c r="B943" s="39">
        <v>903</v>
      </c>
      <c r="C943" s="82"/>
      <c r="M943" s="16"/>
      <c r="O943" s="16"/>
      <c r="T943" s="16"/>
      <c r="AD943" s="16"/>
      <c r="AE943" s="16"/>
      <c r="AG943" s="16"/>
      <c r="AN943" s="16"/>
      <c r="AQ943" s="5"/>
      <c r="AT943" s="16"/>
      <c r="AX943" s="16"/>
      <c r="BA943" s="16"/>
      <c r="BB943" s="16"/>
      <c r="BC943" s="16"/>
      <c r="BD943" s="16"/>
      <c r="BE943" s="16"/>
      <c r="BF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/>
      <c r="BS943" s="16"/>
      <c r="BT943" s="5"/>
      <c r="BU943" s="16"/>
      <c r="BV943" s="16">
        <v>0.22600000000000001</v>
      </c>
      <c r="BW943" s="16"/>
      <c r="BX943" s="16"/>
      <c r="BY943" s="16"/>
      <c r="BZ943" s="16">
        <v>0.23100000000000001</v>
      </c>
      <c r="CA943" s="16"/>
      <c r="CH943" s="44"/>
    </row>
    <row r="944" spans="1:86" x14ac:dyDescent="0.2">
      <c r="A944" s="3" t="s">
        <v>30</v>
      </c>
      <c r="B944" s="39">
        <v>904</v>
      </c>
      <c r="C944" s="82"/>
      <c r="M944" s="16"/>
      <c r="O944" s="16"/>
      <c r="T944" s="16"/>
      <c r="AD944" s="16"/>
      <c r="AE944" s="16"/>
      <c r="AG944" s="16"/>
      <c r="AN944" s="16"/>
      <c r="AQ944" s="5"/>
      <c r="AT944" s="16"/>
      <c r="AX944" s="16"/>
      <c r="BA944" s="16"/>
      <c r="BB944" s="16"/>
      <c r="BC944" s="16"/>
      <c r="BD944" s="16"/>
      <c r="BE944" s="16"/>
      <c r="BF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/>
      <c r="BS944" s="16">
        <v>8.3000000000000004E-2</v>
      </c>
      <c r="BT944" s="5"/>
      <c r="BU944" s="16"/>
      <c r="BV944" s="16"/>
      <c r="BW944" s="16"/>
      <c r="BX944" s="16"/>
      <c r="BY944" s="16"/>
      <c r="BZ944" s="16"/>
      <c r="CA944" s="16">
        <v>7.4999999999999997E-2</v>
      </c>
      <c r="CH944" s="44"/>
    </row>
    <row r="945" spans="1:86" x14ac:dyDescent="0.2">
      <c r="A945" s="3" t="s">
        <v>30</v>
      </c>
      <c r="B945" s="39">
        <v>905</v>
      </c>
      <c r="C945" s="82"/>
      <c r="M945" s="16"/>
      <c r="O945" s="16"/>
      <c r="T945" s="16"/>
      <c r="AD945" s="16"/>
      <c r="AE945" s="16"/>
      <c r="AG945" s="16"/>
      <c r="AN945" s="16"/>
      <c r="AQ945" s="5"/>
      <c r="AT945" s="16"/>
      <c r="AX945" s="16"/>
      <c r="BA945" s="16"/>
      <c r="BB945" s="16"/>
      <c r="BC945" s="16"/>
      <c r="BD945" s="16"/>
      <c r="BE945" s="16"/>
      <c r="BF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/>
      <c r="BS945" s="16"/>
      <c r="BT945" s="5"/>
      <c r="BU945" s="16"/>
      <c r="BV945" s="16">
        <v>0.128</v>
      </c>
      <c r="BW945" s="16">
        <v>0.14299999999999999</v>
      </c>
      <c r="BX945" s="16">
        <v>0.154</v>
      </c>
      <c r="BY945" s="16">
        <v>0.16800000000000001</v>
      </c>
      <c r="BZ945" s="16">
        <v>0.17499999999999999</v>
      </c>
      <c r="CA945" s="16">
        <v>0.18099999999999999</v>
      </c>
      <c r="CH945" s="44"/>
    </row>
    <row r="946" spans="1:86" x14ac:dyDescent="0.2">
      <c r="A946" s="3" t="s">
        <v>30</v>
      </c>
      <c r="B946" s="39">
        <v>906</v>
      </c>
      <c r="C946" s="82"/>
      <c r="M946" s="16"/>
      <c r="O946" s="16"/>
      <c r="T946" s="16"/>
      <c r="AD946" s="16"/>
      <c r="AE946" s="16"/>
      <c r="AG946" s="16"/>
      <c r="AN946" s="16"/>
      <c r="AQ946" s="5"/>
      <c r="AT946" s="16"/>
      <c r="AX946" s="16"/>
      <c r="BA946" s="16"/>
      <c r="BB946" s="16"/>
      <c r="BC946" s="16"/>
      <c r="BD946" s="16"/>
      <c r="BE946" s="16"/>
      <c r="BF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>
        <v>0.14399999999999999</v>
      </c>
      <c r="BR946"/>
      <c r="BS946" s="16">
        <v>0.15060000000000001</v>
      </c>
      <c r="BU946" s="16">
        <v>0.15790000000000001</v>
      </c>
      <c r="BW946" s="16">
        <v>0.14019999999999999</v>
      </c>
      <c r="BY946" s="16">
        <v>0.14990000000000001</v>
      </c>
      <c r="CA946" s="16">
        <v>0.16209999999999999</v>
      </c>
      <c r="CH946" s="44"/>
    </row>
    <row r="947" spans="1:86" x14ac:dyDescent="0.2">
      <c r="A947" s="3" t="s">
        <v>30</v>
      </c>
      <c r="B947" s="39">
        <v>906</v>
      </c>
      <c r="C947" s="82"/>
      <c r="M947" s="16"/>
      <c r="O947" s="16"/>
      <c r="T947" s="16"/>
      <c r="AD947" s="16"/>
      <c r="AE947" s="16"/>
      <c r="AG947" s="16"/>
      <c r="AN947" s="16"/>
      <c r="AQ947" s="5"/>
      <c r="AT947" s="16"/>
      <c r="AX947" s="16"/>
      <c r="BA947" s="16"/>
      <c r="BB947" s="16"/>
      <c r="BC947" s="16"/>
      <c r="BD947" s="16"/>
      <c r="BE947" s="16"/>
      <c r="BF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>
        <v>3.6499999999999998E-2</v>
      </c>
      <c r="BR947"/>
      <c r="BS947" s="16">
        <v>5.33E-2</v>
      </c>
      <c r="BU947" s="16">
        <v>4.8099999999999997E-2</v>
      </c>
      <c r="BW947" s="16">
        <v>4.6100000000000002E-2</v>
      </c>
      <c r="BY947" s="16">
        <v>5.5899999999999998E-2</v>
      </c>
      <c r="CA947" s="16">
        <v>4.6539999999999998E-2</v>
      </c>
      <c r="CH947" s="44"/>
    </row>
    <row r="948" spans="1:86" x14ac:dyDescent="0.2">
      <c r="A948" s="3" t="s">
        <v>30</v>
      </c>
      <c r="B948" s="39">
        <v>906</v>
      </c>
      <c r="C948" s="82"/>
      <c r="M948" s="16"/>
      <c r="O948" s="16"/>
      <c r="T948" s="16"/>
      <c r="AD948" s="16"/>
      <c r="AE948" s="16"/>
      <c r="AG948" s="16"/>
      <c r="AN948" s="16"/>
      <c r="AQ948" s="5"/>
      <c r="AT948" s="16"/>
      <c r="AX948" s="16"/>
      <c r="BA948" s="16"/>
      <c r="BB948" s="16"/>
      <c r="BC948" s="16"/>
      <c r="BD948" s="16"/>
      <c r="BE948" s="16"/>
      <c r="BF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>
        <v>1.78E-2</v>
      </c>
      <c r="BR948"/>
      <c r="BS948" s="16">
        <v>2.81E-2</v>
      </c>
      <c r="BU948" s="16">
        <v>2.9600000000000001E-2</v>
      </c>
      <c r="BW948" s="16">
        <v>3.3399999999999999E-2</v>
      </c>
      <c r="BY948" s="16">
        <v>3.1099999999999999E-2</v>
      </c>
      <c r="CA948" s="16">
        <v>2.76E-2</v>
      </c>
      <c r="CH948" s="44"/>
    </row>
    <row r="949" spans="1:86" x14ac:dyDescent="0.2">
      <c r="A949" s="3" t="s">
        <v>30</v>
      </c>
      <c r="B949" s="39">
        <v>906</v>
      </c>
      <c r="C949" s="82"/>
      <c r="M949" s="16"/>
      <c r="O949" s="16"/>
      <c r="T949" s="16"/>
      <c r="AD949" s="16"/>
      <c r="AE949" s="16"/>
      <c r="AG949" s="16"/>
      <c r="AN949" s="16"/>
      <c r="AQ949" s="5"/>
      <c r="AT949" s="16"/>
      <c r="AX949" s="16"/>
      <c r="BA949" s="16"/>
      <c r="BB949" s="16"/>
      <c r="BC949" s="16"/>
      <c r="BD949" s="16"/>
      <c r="BE949" s="16"/>
      <c r="BF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>
        <v>0.1484</v>
      </c>
      <c r="BR949"/>
      <c r="BS949" s="16">
        <v>0.14580000000000001</v>
      </c>
      <c r="BU949" s="16">
        <v>0.18629999999999999</v>
      </c>
      <c r="BW949" s="16">
        <v>0.1336</v>
      </c>
      <c r="BY949" s="16">
        <v>0.13869999999999999</v>
      </c>
      <c r="CA949" s="16">
        <v>0.15920000000000001</v>
      </c>
      <c r="CH949" s="44"/>
    </row>
    <row r="950" spans="1:86" x14ac:dyDescent="0.2">
      <c r="A950" s="3" t="s">
        <v>30</v>
      </c>
      <c r="B950" s="39">
        <v>906</v>
      </c>
      <c r="C950" s="82"/>
      <c r="M950" s="16"/>
      <c r="O950" s="16"/>
      <c r="T950" s="16"/>
      <c r="AD950" s="16"/>
      <c r="AE950" s="16"/>
      <c r="AG950" s="16"/>
      <c r="AN950" s="16"/>
      <c r="AQ950" s="5"/>
      <c r="AT950" s="16"/>
      <c r="AX950" s="16"/>
      <c r="BA950" s="16"/>
      <c r="BB950" s="16"/>
      <c r="BC950" s="16"/>
      <c r="BD950" s="16"/>
      <c r="BE950" s="16"/>
      <c r="BF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>
        <v>3.2000000000000001E-2</v>
      </c>
      <c r="BR950"/>
      <c r="BS950" s="16">
        <v>5.2999999999999999E-2</v>
      </c>
      <c r="BU950" s="16">
        <v>5.4199999999999998E-2</v>
      </c>
      <c r="BW950" s="16">
        <v>4.0800000000000003E-2</v>
      </c>
      <c r="BY950" s="16">
        <v>5.0500000000000003E-2</v>
      </c>
      <c r="CA950" s="16">
        <v>5.4899999999999997E-2</v>
      </c>
      <c r="CH950" s="44"/>
    </row>
    <row r="951" spans="1:86" x14ac:dyDescent="0.2">
      <c r="A951" s="3" t="s">
        <v>30</v>
      </c>
      <c r="B951" s="39">
        <v>906</v>
      </c>
      <c r="C951" s="82"/>
      <c r="M951" s="16"/>
      <c r="O951" s="16"/>
      <c r="T951" s="16"/>
      <c r="AD951" s="16"/>
      <c r="AE951" s="16"/>
      <c r="AG951" s="16"/>
      <c r="AN951" s="16"/>
      <c r="AQ951" s="5"/>
      <c r="AT951" s="16"/>
      <c r="AX951" s="16"/>
      <c r="BA951" s="16"/>
      <c r="BB951" s="16"/>
      <c r="BC951" s="16"/>
      <c r="BD951" s="16"/>
      <c r="BE951" s="16"/>
      <c r="BF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>
        <v>1.55E-2</v>
      </c>
      <c r="BR951"/>
      <c r="BS951" s="16">
        <v>2.58E-2</v>
      </c>
      <c r="BU951" s="16">
        <v>2.4299999999999999E-2</v>
      </c>
      <c r="BW951" s="16">
        <v>3.2800000000000003E-2</v>
      </c>
      <c r="BY951" s="16">
        <v>2.7E-2</v>
      </c>
      <c r="CA951" s="16">
        <v>2.3E-2</v>
      </c>
      <c r="CH951" s="44"/>
    </row>
    <row r="952" spans="1:86" x14ac:dyDescent="0.2">
      <c r="A952" s="3" t="s">
        <v>30</v>
      </c>
      <c r="B952" s="39">
        <v>906</v>
      </c>
      <c r="C952" s="82"/>
      <c r="M952" s="16"/>
      <c r="O952" s="16"/>
      <c r="T952" s="16"/>
      <c r="AD952" s="16"/>
      <c r="AE952" s="16"/>
      <c r="AG952" s="16"/>
      <c r="AN952" s="16"/>
      <c r="AQ952" s="5"/>
      <c r="AT952" s="16"/>
      <c r="AX952" s="16"/>
      <c r="BA952" s="16"/>
      <c r="BB952" s="16"/>
      <c r="BC952" s="16"/>
      <c r="BD952" s="16"/>
      <c r="BE952" s="16"/>
      <c r="BF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>
        <v>0.1452</v>
      </c>
      <c r="BR952"/>
      <c r="BS952" s="16">
        <v>0.15010000000000001</v>
      </c>
      <c r="BU952" s="16">
        <v>0.14949999999999999</v>
      </c>
      <c r="BW952" s="16">
        <v>0.14899999999999999</v>
      </c>
      <c r="BY952" s="16">
        <v>0.14849999999999999</v>
      </c>
      <c r="CA952" s="16">
        <v>0.1699</v>
      </c>
      <c r="CH952" s="44"/>
    </row>
    <row r="953" spans="1:86" x14ac:dyDescent="0.2">
      <c r="A953" s="3" t="s">
        <v>30</v>
      </c>
      <c r="B953" s="39">
        <v>906</v>
      </c>
      <c r="C953" s="82"/>
      <c r="M953" s="16"/>
      <c r="O953" s="16"/>
      <c r="T953" s="16"/>
      <c r="AD953" s="16"/>
      <c r="AE953" s="16"/>
      <c r="AG953" s="16"/>
      <c r="AN953" s="16"/>
      <c r="AQ953" s="5"/>
      <c r="AT953" s="16"/>
      <c r="AX953" s="16"/>
      <c r="BA953" s="16"/>
      <c r="BB953" s="16"/>
      <c r="BC953" s="16"/>
      <c r="BD953" s="16"/>
      <c r="BE953" s="16"/>
      <c r="BF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>
        <v>4.3499999999999997E-2</v>
      </c>
      <c r="BR953"/>
      <c r="BS953" s="16">
        <v>5.8999999999999997E-2</v>
      </c>
      <c r="BU953" s="16">
        <v>0.05</v>
      </c>
      <c r="BW953" s="16">
        <v>5.5199999999999999E-2</v>
      </c>
      <c r="BY953" s="16">
        <v>6.3899999999999998E-2</v>
      </c>
      <c r="CA953" s="16">
        <v>4.1500000000000002E-2</v>
      </c>
      <c r="CH953" s="44"/>
    </row>
    <row r="954" spans="1:86" x14ac:dyDescent="0.2">
      <c r="A954" s="3" t="s">
        <v>30</v>
      </c>
      <c r="B954" s="39">
        <v>906</v>
      </c>
      <c r="C954" s="82"/>
      <c r="M954" s="16"/>
      <c r="O954" s="16"/>
      <c r="T954" s="16"/>
      <c r="AD954" s="16"/>
      <c r="AE954" s="16"/>
      <c r="AG954" s="16"/>
      <c r="AN954" s="16"/>
      <c r="AQ954" s="5"/>
      <c r="AT954" s="16"/>
      <c r="AX954" s="16"/>
      <c r="BA954" s="16"/>
      <c r="BB954" s="16"/>
      <c r="BC954" s="16"/>
      <c r="BD954" s="16"/>
      <c r="BE954" s="16"/>
      <c r="BF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>
        <v>2.4199999999999999E-2</v>
      </c>
      <c r="BR954"/>
      <c r="BS954" s="16">
        <v>3.5099999999999999E-2</v>
      </c>
      <c r="BU954" s="16">
        <v>4.1399999999999999E-2</v>
      </c>
      <c r="BW954" s="16">
        <v>4.0300000000000002E-2</v>
      </c>
      <c r="BY954" s="16">
        <v>3.5099999999999999E-2</v>
      </c>
      <c r="CA954" s="16">
        <v>3.2500000000000001E-2</v>
      </c>
      <c r="CH954" s="44"/>
    </row>
    <row r="955" spans="1:86" x14ac:dyDescent="0.2">
      <c r="A955" s="3" t="s">
        <v>30</v>
      </c>
      <c r="B955" s="39">
        <v>906</v>
      </c>
      <c r="C955" s="82"/>
      <c r="M955" s="16"/>
      <c r="O955" s="16"/>
      <c r="T955" s="16"/>
      <c r="AD955" s="16"/>
      <c r="AE955" s="16"/>
      <c r="AG955" s="16"/>
      <c r="AN955" s="16"/>
      <c r="AQ955" s="5"/>
      <c r="AT955" s="16"/>
      <c r="AX955" s="16"/>
      <c r="BA955" s="16"/>
      <c r="BB955" s="16"/>
      <c r="BC955" s="16"/>
      <c r="BD955" s="16"/>
      <c r="BE955" s="16"/>
      <c r="BF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>
        <v>0.13039999999999999</v>
      </c>
      <c r="BR955"/>
      <c r="BS955" s="16">
        <v>0.16320000000000001</v>
      </c>
      <c r="BU955" s="16">
        <v>0.122</v>
      </c>
      <c r="BW955" s="16">
        <v>0.13020000000000001</v>
      </c>
      <c r="BY955" s="16">
        <v>0.1741</v>
      </c>
      <c r="CA955" s="16">
        <v>0.15029999999999999</v>
      </c>
      <c r="CH955" s="44"/>
    </row>
    <row r="956" spans="1:86" x14ac:dyDescent="0.2">
      <c r="A956" s="3" t="s">
        <v>30</v>
      </c>
      <c r="B956" s="39">
        <v>906</v>
      </c>
      <c r="C956" s="82"/>
      <c r="M956" s="16"/>
      <c r="O956" s="16"/>
      <c r="T956" s="16"/>
      <c r="AD956" s="16"/>
      <c r="AE956" s="16"/>
      <c r="AG956" s="16"/>
      <c r="AN956" s="16"/>
      <c r="AQ956" s="5"/>
      <c r="AT956" s="16"/>
      <c r="AX956" s="16"/>
      <c r="BA956" s="16"/>
      <c r="BB956" s="16"/>
      <c r="BC956" s="16"/>
      <c r="BD956" s="16"/>
      <c r="BE956" s="16"/>
      <c r="BF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>
        <v>2.7099999999999999E-2</v>
      </c>
      <c r="BR956"/>
      <c r="BS956" s="16">
        <v>3.7699999999999997E-2</v>
      </c>
      <c r="BU956" s="16">
        <v>3.04E-2</v>
      </c>
      <c r="BW956" s="16">
        <v>3.2899999999999999E-2</v>
      </c>
      <c r="BY956" s="16">
        <v>4.7300000000000002E-2</v>
      </c>
      <c r="CA956" s="16">
        <v>4.2799999999999998E-2</v>
      </c>
      <c r="CH956" s="44"/>
    </row>
    <row r="957" spans="1:86" x14ac:dyDescent="0.2">
      <c r="A957" s="3" t="s">
        <v>30</v>
      </c>
      <c r="B957" s="39">
        <v>906</v>
      </c>
      <c r="C957" s="82"/>
      <c r="M957" s="16"/>
      <c r="O957" s="16"/>
      <c r="T957" s="16"/>
      <c r="AD957" s="16"/>
      <c r="AE957" s="16"/>
      <c r="AG957" s="16"/>
      <c r="AN957" s="16"/>
      <c r="AQ957" s="5"/>
      <c r="AT957" s="16"/>
      <c r="AX957" s="16"/>
      <c r="BA957" s="16"/>
      <c r="BB957" s="16"/>
      <c r="BC957" s="16"/>
      <c r="BD957" s="16"/>
      <c r="BE957" s="16"/>
      <c r="BF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>
        <v>4.7000000000000002E-3</v>
      </c>
      <c r="BR957"/>
      <c r="BS957" s="16">
        <v>1.4E-2</v>
      </c>
      <c r="BU957" s="16">
        <v>9.1999999999999998E-3</v>
      </c>
      <c r="BW957" s="16">
        <v>1.61E-2</v>
      </c>
      <c r="BY957" s="16">
        <v>2.92E-2</v>
      </c>
      <c r="CA957" s="16">
        <v>2.5100000000000001E-2</v>
      </c>
      <c r="CH957" s="44"/>
    </row>
    <row r="958" spans="1:86" x14ac:dyDescent="0.2">
      <c r="A958" s="3" t="s">
        <v>30</v>
      </c>
      <c r="B958" s="39">
        <v>907</v>
      </c>
      <c r="C958" s="82"/>
      <c r="M958" s="16"/>
      <c r="O958" s="16"/>
      <c r="T958" s="16"/>
      <c r="AD958" s="16"/>
      <c r="AE958" s="16"/>
      <c r="AG958" s="16"/>
      <c r="AN958" s="16"/>
      <c r="AQ958" s="5"/>
      <c r="AT958" s="16"/>
      <c r="AX958" s="16"/>
      <c r="BA958" s="16"/>
      <c r="BB958" s="16"/>
      <c r="BC958" s="16"/>
      <c r="BD958" s="16"/>
      <c r="BE958" s="16"/>
      <c r="BF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/>
      <c r="BS958" s="16"/>
      <c r="BT958" s="16">
        <v>0.125</v>
      </c>
      <c r="BU958" s="16"/>
      <c r="BW958" s="16"/>
      <c r="BY958" s="16"/>
      <c r="CA958" s="16"/>
      <c r="CB958" s="16">
        <v>0.157</v>
      </c>
      <c r="CH958" s="44"/>
    </row>
    <row r="959" spans="1:86" x14ac:dyDescent="0.2">
      <c r="A959" s="3" t="s">
        <v>30</v>
      </c>
      <c r="B959" s="39">
        <v>908</v>
      </c>
      <c r="C959" s="82"/>
      <c r="M959" s="16"/>
      <c r="O959" s="16"/>
      <c r="T959" s="16"/>
      <c r="AD959" s="16"/>
      <c r="AE959" s="16"/>
      <c r="AG959" s="16"/>
      <c r="AN959" s="16"/>
      <c r="AQ959" s="5"/>
      <c r="AT959" s="16"/>
      <c r="AX959" s="16"/>
      <c r="BA959" s="16"/>
      <c r="BB959" s="16"/>
      <c r="BC959" s="16"/>
      <c r="BD959" s="16"/>
      <c r="BE959" s="16"/>
      <c r="BF959" s="16"/>
      <c r="BH959" s="16"/>
      <c r="BI959" s="16"/>
      <c r="BJ959" s="16"/>
      <c r="BK959" s="16"/>
      <c r="BL959" s="16"/>
      <c r="BM959" s="16">
        <v>2.8000000000000001E-2</v>
      </c>
      <c r="BN959" s="16"/>
      <c r="BO959" s="16"/>
      <c r="BP959" s="16"/>
      <c r="BQ959" s="16"/>
      <c r="BR959"/>
      <c r="BS959" s="16"/>
      <c r="BT959" s="16"/>
      <c r="BU959" s="16"/>
      <c r="BX959" s="16">
        <v>5.2999999999999999E-2</v>
      </c>
      <c r="BY959" s="16"/>
      <c r="CA959" s="16"/>
      <c r="CB959" s="16"/>
      <c r="CH959" s="44"/>
    </row>
    <row r="960" spans="1:86" x14ac:dyDescent="0.2">
      <c r="A960" s="3" t="s">
        <v>30</v>
      </c>
      <c r="B960" s="39">
        <v>909</v>
      </c>
      <c r="C960" s="82"/>
      <c r="M960" s="16"/>
      <c r="O960" s="16"/>
      <c r="T960" s="16"/>
      <c r="AD960" s="16"/>
      <c r="AE960" s="16"/>
      <c r="AG960" s="16"/>
      <c r="AN960" s="16"/>
      <c r="AQ960" s="5"/>
      <c r="AT960" s="16"/>
      <c r="AX960" s="16"/>
      <c r="BA960" s="16"/>
      <c r="BB960" s="16"/>
      <c r="BC960" s="16"/>
      <c r="BD960" s="16"/>
      <c r="BE960" s="16"/>
      <c r="BF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/>
      <c r="BS960" s="16"/>
      <c r="BT960" s="16"/>
      <c r="BU960" s="16">
        <v>0.35699999999999998</v>
      </c>
      <c r="BW960" s="16">
        <v>0.34899999999999998</v>
      </c>
      <c r="BY960" s="16">
        <v>0.31900000000000001</v>
      </c>
      <c r="CA960" s="16">
        <v>0.33600000000000002</v>
      </c>
      <c r="CB960" s="16"/>
      <c r="CH960" s="44"/>
    </row>
    <row r="961" spans="1:86" x14ac:dyDescent="0.2">
      <c r="A961" s="3" t="s">
        <v>30</v>
      </c>
      <c r="B961" s="39">
        <v>909</v>
      </c>
      <c r="C961" s="82"/>
      <c r="M961" s="16"/>
      <c r="O961" s="16"/>
      <c r="T961" s="16"/>
      <c r="AD961" s="16"/>
      <c r="AE961" s="16"/>
      <c r="AG961" s="16"/>
      <c r="AN961" s="16"/>
      <c r="AQ961" s="5"/>
      <c r="AT961" s="16"/>
      <c r="AX961" s="16"/>
      <c r="BA961" s="16"/>
      <c r="BB961" s="16"/>
      <c r="BC961" s="16"/>
      <c r="BD961" s="16"/>
      <c r="BE961" s="16"/>
      <c r="BF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/>
      <c r="BS961" s="16"/>
      <c r="BT961" s="16"/>
      <c r="BU961" s="16">
        <v>0.44</v>
      </c>
      <c r="BW961" s="16">
        <v>0.379</v>
      </c>
      <c r="BY961" s="16">
        <v>0.38300000000000001</v>
      </c>
      <c r="CA961" s="16">
        <v>0.38400000000000001</v>
      </c>
      <c r="CB961" s="16"/>
      <c r="CH961" s="44"/>
    </row>
    <row r="962" spans="1:86" x14ac:dyDescent="0.2">
      <c r="A962" s="3" t="s">
        <v>30</v>
      </c>
      <c r="B962" s="39">
        <v>910</v>
      </c>
      <c r="C962" s="82"/>
      <c r="M962" s="16"/>
      <c r="O962" s="16"/>
      <c r="T962" s="16"/>
      <c r="AD962" s="16"/>
      <c r="AE962" s="16"/>
      <c r="AG962" s="16"/>
      <c r="AN962" s="16"/>
      <c r="AQ962" s="5"/>
      <c r="AT962" s="16"/>
      <c r="AX962" s="16"/>
      <c r="BA962" s="16"/>
      <c r="BB962" s="16"/>
      <c r="BC962" s="16"/>
      <c r="BD962" s="16"/>
      <c r="BE962" s="16"/>
      <c r="BF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/>
      <c r="BS962" s="16"/>
      <c r="BT962" s="16"/>
      <c r="BU962" s="16">
        <v>0.23699999999999999</v>
      </c>
      <c r="BW962" s="16">
        <v>0.30099999999999999</v>
      </c>
      <c r="BY962" s="16">
        <v>0.26200000000000001</v>
      </c>
      <c r="CA962" s="16">
        <v>0.30299999999999999</v>
      </c>
      <c r="CB962" s="16"/>
      <c r="CC962" s="16">
        <v>0.35599999999999998</v>
      </c>
      <c r="CH962" s="44"/>
    </row>
    <row r="963" spans="1:86" x14ac:dyDescent="0.2">
      <c r="A963" s="3" t="s">
        <v>30</v>
      </c>
      <c r="B963" s="39">
        <v>911</v>
      </c>
      <c r="C963" s="82"/>
      <c r="M963" s="16"/>
      <c r="O963" s="16"/>
      <c r="T963" s="16"/>
      <c r="AD963" s="16"/>
      <c r="AE963" s="16"/>
      <c r="AG963" s="16"/>
      <c r="AN963" s="16"/>
      <c r="AQ963" s="5"/>
      <c r="AT963" s="16"/>
      <c r="AX963" s="16"/>
      <c r="BA963" s="16"/>
      <c r="BB963" s="16"/>
      <c r="BC963" s="16"/>
      <c r="BD963" s="16"/>
      <c r="BE963" s="16"/>
      <c r="BF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/>
      <c r="BS963" s="16"/>
      <c r="BT963" s="16"/>
      <c r="BU963" s="16">
        <v>0.09</v>
      </c>
      <c r="BW963" s="16"/>
      <c r="BX963" s="16">
        <v>0.08</v>
      </c>
      <c r="BY963" s="16"/>
      <c r="CA963" s="16">
        <v>7.0000000000000007E-2</v>
      </c>
      <c r="CB963" s="16"/>
      <c r="CC963" s="16"/>
      <c r="CH963" s="44"/>
    </row>
    <row r="964" spans="1:86" x14ac:dyDescent="0.2">
      <c r="A964" s="3" t="s">
        <v>30</v>
      </c>
      <c r="B964" s="39">
        <v>911</v>
      </c>
      <c r="C964" s="82"/>
      <c r="M964" s="16"/>
      <c r="O964" s="16"/>
      <c r="T964" s="16"/>
      <c r="AD964" s="16"/>
      <c r="AE964" s="16"/>
      <c r="AG964" s="16"/>
      <c r="AN964" s="16"/>
      <c r="AQ964" s="5"/>
      <c r="AT964" s="16"/>
      <c r="AX964" s="16"/>
      <c r="BA964" s="16"/>
      <c r="BB964" s="16"/>
      <c r="BC964" s="16"/>
      <c r="BD964" s="16"/>
      <c r="BE964" s="16"/>
      <c r="BF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/>
      <c r="BS964" s="16"/>
      <c r="BT964" s="16"/>
      <c r="BU964" s="16">
        <v>0.11</v>
      </c>
      <c r="BW964" s="16"/>
      <c r="BX964" s="16">
        <v>0.11</v>
      </c>
      <c r="BY964" s="16"/>
      <c r="CA964" s="16">
        <v>0.09</v>
      </c>
      <c r="CB964" s="16"/>
      <c r="CC964" s="16"/>
      <c r="CH964" s="44"/>
    </row>
    <row r="965" spans="1:86" x14ac:dyDescent="0.2">
      <c r="A965" s="3" t="s">
        <v>30</v>
      </c>
      <c r="B965" s="39">
        <v>912</v>
      </c>
      <c r="C965" s="82"/>
      <c r="M965" s="16"/>
      <c r="O965" s="16"/>
      <c r="T965" s="16"/>
      <c r="AD965" s="16"/>
      <c r="AE965" s="16"/>
      <c r="AG965" s="16"/>
      <c r="AN965" s="16"/>
      <c r="AQ965" s="5"/>
      <c r="AT965" s="16"/>
      <c r="AX965" s="16"/>
      <c r="BA965" s="16"/>
      <c r="BB965" s="16"/>
      <c r="BC965" s="16"/>
      <c r="BD965" s="16"/>
      <c r="BE965" s="16"/>
      <c r="BF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/>
      <c r="BS965" s="16"/>
      <c r="BT965" s="16"/>
      <c r="BU965" s="16"/>
      <c r="BW965" s="16"/>
      <c r="BX965" s="16">
        <v>7.9000000000000001E-2</v>
      </c>
      <c r="BY965" s="16"/>
      <c r="CA965" s="16"/>
      <c r="CB965" s="16"/>
      <c r="CC965" s="16"/>
      <c r="CD965" s="16">
        <v>0.108</v>
      </c>
      <c r="CH965" s="44"/>
    </row>
    <row r="966" spans="1:86" x14ac:dyDescent="0.2">
      <c r="A966" s="3" t="s">
        <v>30</v>
      </c>
      <c r="B966" s="39">
        <v>913</v>
      </c>
      <c r="C966" s="82"/>
      <c r="M966" s="16"/>
      <c r="O966" s="16"/>
      <c r="T966" s="16"/>
      <c r="AD966" s="16"/>
      <c r="AE966" s="16"/>
      <c r="AG966" s="16"/>
      <c r="AN966" s="16"/>
      <c r="AQ966" s="5"/>
      <c r="AT966" s="16"/>
      <c r="AX966" s="16"/>
      <c r="BA966" s="16"/>
      <c r="BB966" s="16"/>
      <c r="BC966" s="16"/>
      <c r="BD966" s="16"/>
      <c r="BE966" s="16">
        <v>0.14599999999999999</v>
      </c>
      <c r="BF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/>
      <c r="BS966" s="16"/>
      <c r="BT966" s="16"/>
      <c r="BU966" s="16"/>
      <c r="BW966" s="16"/>
      <c r="BX966" s="16"/>
      <c r="BY966" s="16"/>
      <c r="CA966" s="16"/>
      <c r="CB966" s="16">
        <v>0.16900000000000001</v>
      </c>
      <c r="CC966" s="16"/>
      <c r="CD966" s="16"/>
      <c r="CH966" s="44"/>
    </row>
    <row r="967" spans="1:86" x14ac:dyDescent="0.2">
      <c r="A967" s="3" t="s">
        <v>30</v>
      </c>
      <c r="B967" s="39">
        <v>913</v>
      </c>
      <c r="C967" s="82"/>
      <c r="M967" s="16"/>
      <c r="O967" s="16"/>
      <c r="T967" s="16"/>
      <c r="AD967" s="16"/>
      <c r="AE967" s="16"/>
      <c r="AG967" s="16"/>
      <c r="AN967" s="16"/>
      <c r="AQ967" s="5"/>
      <c r="AT967" s="16"/>
      <c r="AX967" s="16"/>
      <c r="BA967" s="16"/>
      <c r="BB967" s="16"/>
      <c r="BC967" s="16"/>
      <c r="BD967" s="16"/>
      <c r="BE967" s="16">
        <v>0.31</v>
      </c>
      <c r="BF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/>
      <c r="BS967" s="16"/>
      <c r="BT967" s="16"/>
      <c r="BU967" s="16"/>
      <c r="BW967" s="16"/>
      <c r="BX967" s="16"/>
      <c r="BY967" s="16"/>
      <c r="CA967" s="16"/>
      <c r="CB967" s="16">
        <v>0.156</v>
      </c>
      <c r="CC967" s="16"/>
      <c r="CD967" s="16"/>
      <c r="CH967" s="44"/>
    </row>
    <row r="968" spans="1:86" x14ac:dyDescent="0.2">
      <c r="A968" s="3" t="s">
        <v>30</v>
      </c>
      <c r="B968" s="39">
        <v>820</v>
      </c>
      <c r="C968" s="82"/>
      <c r="M968" s="16"/>
      <c r="O968" s="16"/>
      <c r="T968" s="16"/>
      <c r="AD968" s="16"/>
      <c r="AE968" s="16"/>
      <c r="AG968" s="16"/>
      <c r="AN968" s="16"/>
      <c r="AQ968" s="5"/>
      <c r="AT968" s="16"/>
      <c r="AX968" s="16"/>
      <c r="BA968" s="16"/>
      <c r="BB968" s="16"/>
      <c r="BC968" s="16"/>
      <c r="BD968" s="16"/>
      <c r="BE968" s="16"/>
      <c r="BF968" s="16"/>
      <c r="BH968" s="16"/>
      <c r="BI968" s="16"/>
      <c r="BJ968" s="16"/>
      <c r="BK968" s="16"/>
      <c r="BL968" s="16"/>
      <c r="BM968" s="16"/>
      <c r="BN968" s="16">
        <v>0.05</v>
      </c>
      <c r="BO968" s="16"/>
      <c r="BP968" s="16"/>
      <c r="BQ968" s="16"/>
      <c r="BR968"/>
      <c r="BS968" s="16"/>
      <c r="BT968" s="16"/>
      <c r="BU968" s="16"/>
      <c r="BW968" s="16"/>
      <c r="BX968" s="16">
        <v>3.3000000000000002E-2</v>
      </c>
      <c r="BY968" s="16"/>
      <c r="CA968" s="16"/>
      <c r="CB968" s="16"/>
      <c r="CC968" s="16"/>
      <c r="CD968" s="16">
        <v>0.08</v>
      </c>
      <c r="CH968" s="44"/>
    </row>
    <row r="969" spans="1:86" x14ac:dyDescent="0.2">
      <c r="A969" s="3" t="s">
        <v>30</v>
      </c>
      <c r="B969" s="39">
        <v>820</v>
      </c>
      <c r="C969" s="82"/>
      <c r="M969" s="16"/>
      <c r="O969" s="16"/>
      <c r="T969" s="16"/>
      <c r="AD969" s="16"/>
      <c r="AE969" s="16"/>
      <c r="AG969" s="16"/>
      <c r="AN969" s="16"/>
      <c r="AQ969" s="5"/>
      <c r="AT969" s="16"/>
      <c r="AX969" s="16"/>
      <c r="BA969" s="16"/>
      <c r="BB969" s="16"/>
      <c r="BC969" s="16"/>
      <c r="BD969" s="16"/>
      <c r="BE969" s="16"/>
      <c r="BF969" s="16"/>
      <c r="BH969" s="16"/>
      <c r="BI969" s="16"/>
      <c r="BJ969" s="16"/>
      <c r="BK969" s="16"/>
      <c r="BL969" s="16"/>
      <c r="BM969" s="16"/>
      <c r="BN969" s="16">
        <v>0.114</v>
      </c>
      <c r="BO969" s="16"/>
      <c r="BP969" s="16"/>
      <c r="BQ969" s="16"/>
      <c r="BR969"/>
      <c r="BS969" s="16"/>
      <c r="BT969" s="16"/>
      <c r="BU969" s="16"/>
      <c r="BW969" s="16"/>
      <c r="BX969" s="16">
        <v>0.126</v>
      </c>
      <c r="BY969" s="16"/>
      <c r="CA969" s="16"/>
      <c r="CB969" s="16"/>
      <c r="CC969" s="16"/>
      <c r="CD969" s="16">
        <v>0.23899999999999999</v>
      </c>
      <c r="CH969" s="44"/>
    </row>
    <row r="970" spans="1:86" x14ac:dyDescent="0.2">
      <c r="A970" s="3" t="s">
        <v>30</v>
      </c>
      <c r="B970" s="39">
        <v>914</v>
      </c>
      <c r="C970" s="82"/>
      <c r="M970" s="16"/>
      <c r="O970" s="16"/>
      <c r="T970" s="16"/>
      <c r="AD970" s="16"/>
      <c r="AE970" s="16"/>
      <c r="AG970" s="16"/>
      <c r="AN970" s="16"/>
      <c r="AQ970" s="5"/>
      <c r="AT970" s="16"/>
      <c r="AX970" s="16"/>
      <c r="BA970" s="16"/>
      <c r="BB970" s="16"/>
      <c r="BC970" s="16"/>
      <c r="BD970" s="16"/>
      <c r="BE970" s="16"/>
      <c r="BF970" s="16"/>
      <c r="BH970" s="16"/>
      <c r="BI970" s="16"/>
      <c r="BJ970" s="16">
        <v>0.28299999999999997</v>
      </c>
      <c r="BK970" s="16"/>
      <c r="BL970" s="16">
        <v>0.28299999999999997</v>
      </c>
      <c r="BM970" s="16"/>
      <c r="BN970" s="16">
        <v>0.28599999999999998</v>
      </c>
      <c r="BO970" s="16"/>
      <c r="BP970" s="16">
        <v>0.28499999999999998</v>
      </c>
      <c r="BQ970" s="16"/>
      <c r="BR970" s="16">
        <v>0.26100000000000001</v>
      </c>
      <c r="BS970" s="16"/>
      <c r="BT970" s="16">
        <v>0.28499999999999998</v>
      </c>
      <c r="BU970" s="16"/>
      <c r="BV970" s="16">
        <v>0.29899999999999999</v>
      </c>
      <c r="BW970" s="16"/>
      <c r="BX970" s="16">
        <v>0.29899999999999999</v>
      </c>
      <c r="BY970" s="16"/>
      <c r="BZ970" s="16">
        <v>0.315</v>
      </c>
      <c r="CA970" s="16"/>
      <c r="CB970" s="16">
        <v>0.36699999999999999</v>
      </c>
      <c r="CC970" s="16"/>
      <c r="CD970" s="16"/>
      <c r="CH970" s="44"/>
    </row>
    <row r="971" spans="1:86" x14ac:dyDescent="0.2">
      <c r="A971" s="3" t="s">
        <v>30</v>
      </c>
      <c r="B971" s="39">
        <v>915</v>
      </c>
      <c r="C971" s="82"/>
      <c r="M971" s="16"/>
      <c r="O971" s="16"/>
      <c r="T971" s="16"/>
      <c r="AD971" s="16"/>
      <c r="AE971" s="16"/>
      <c r="AG971" s="16"/>
      <c r="AN971" s="16"/>
      <c r="AQ971" s="5"/>
      <c r="AT971" s="16"/>
      <c r="AX971" s="16"/>
      <c r="BA971" s="16"/>
      <c r="BB971" s="16"/>
      <c r="BC971" s="16"/>
      <c r="BD971" s="16"/>
      <c r="BE971" s="16"/>
      <c r="BF971" s="16"/>
      <c r="BH971" s="16"/>
      <c r="BI971" s="16"/>
      <c r="BJ971" s="16"/>
      <c r="BK971" s="16">
        <v>6.7299999999999999E-2</v>
      </c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>
        <v>9.1999999999999998E-2</v>
      </c>
      <c r="CH971" s="44"/>
    </row>
    <row r="972" spans="1:86" x14ac:dyDescent="0.2">
      <c r="A972" s="3" t="s">
        <v>30</v>
      </c>
      <c r="B972" s="39">
        <v>916</v>
      </c>
      <c r="C972" s="82"/>
      <c r="M972" s="16"/>
      <c r="O972" s="16"/>
      <c r="T972" s="16"/>
      <c r="AD972" s="16"/>
      <c r="AE972" s="16"/>
      <c r="AG972" s="16"/>
      <c r="AN972" s="16"/>
      <c r="AQ972" s="5"/>
      <c r="AT972" s="16"/>
      <c r="AX972" s="16"/>
      <c r="BA972" s="16"/>
      <c r="BB972" s="16"/>
      <c r="BC972" s="16"/>
      <c r="BD972" s="16"/>
      <c r="BE972" s="16"/>
      <c r="BF972" s="16"/>
      <c r="BH972" s="16"/>
      <c r="BI972" s="16"/>
      <c r="BJ972" s="16"/>
      <c r="BL972" s="16"/>
      <c r="BM972" s="16"/>
      <c r="BN972" s="16"/>
      <c r="BO972" s="16"/>
      <c r="BP972" s="16"/>
      <c r="BQ972" s="16"/>
      <c r="BR972" s="16"/>
      <c r="BS972" s="16"/>
      <c r="BT972" s="16">
        <v>8.1000000000000003E-2</v>
      </c>
      <c r="BU972" s="16"/>
      <c r="BV972" s="16"/>
      <c r="BW972" s="16"/>
      <c r="BX972" s="16"/>
      <c r="BY972" s="16"/>
      <c r="BZ972" s="16"/>
      <c r="CA972" s="16"/>
      <c r="CB972" s="16"/>
      <c r="CC972" s="16"/>
      <c r="CD972" s="16">
        <v>0.158</v>
      </c>
      <c r="CH972" s="44"/>
    </row>
    <row r="973" spans="1:86" x14ac:dyDescent="0.2">
      <c r="A973" s="3" t="s">
        <v>30</v>
      </c>
      <c r="B973" s="39">
        <v>917</v>
      </c>
      <c r="C973" s="82"/>
      <c r="M973" s="16"/>
      <c r="O973" s="16"/>
      <c r="T973" s="16"/>
      <c r="AD973" s="16"/>
      <c r="AE973" s="16"/>
      <c r="AG973" s="16"/>
      <c r="AN973" s="16"/>
      <c r="AQ973" s="5"/>
      <c r="AT973" s="16"/>
      <c r="AX973" s="16"/>
      <c r="BA973" s="16"/>
      <c r="BB973" s="16"/>
      <c r="BC973" s="16"/>
      <c r="BD973" s="16"/>
      <c r="BE973" s="16"/>
      <c r="BF973" s="16"/>
      <c r="BH973" s="16"/>
      <c r="BI973" s="16"/>
      <c r="BJ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>
        <v>7.2999999999999995E-2</v>
      </c>
      <c r="CA973" s="16"/>
      <c r="CB973" s="16"/>
      <c r="CC973" s="16"/>
      <c r="CD973" s="16">
        <v>8.5999999999999993E-2</v>
      </c>
      <c r="CE973" s="16">
        <v>9.1999999999999998E-2</v>
      </c>
      <c r="CH973" s="44"/>
    </row>
    <row r="974" spans="1:86" x14ac:dyDescent="0.2">
      <c r="A974" s="3" t="s">
        <v>30</v>
      </c>
      <c r="B974" s="39">
        <v>918</v>
      </c>
      <c r="C974" s="82"/>
      <c r="M974" s="16"/>
      <c r="O974" s="16"/>
      <c r="T974" s="16"/>
      <c r="AD974" s="16"/>
      <c r="AE974" s="16"/>
      <c r="AG974" s="16"/>
      <c r="AN974" s="16"/>
      <c r="AQ974" s="5"/>
      <c r="AT974" s="16"/>
      <c r="AX974" s="16"/>
      <c r="BA974" s="16"/>
      <c r="BB974" s="16"/>
      <c r="BC974" s="16"/>
      <c r="BD974" s="16"/>
      <c r="BE974" s="16"/>
      <c r="BF974" s="16"/>
      <c r="BH974" s="16"/>
      <c r="BI974" s="16"/>
      <c r="BJ974" s="16"/>
      <c r="BL974" s="16"/>
      <c r="BM974" s="16"/>
      <c r="BN974" s="16"/>
      <c r="BO974" s="16"/>
      <c r="BP974" s="16"/>
      <c r="BQ974" s="16"/>
      <c r="BR974" s="16">
        <v>1.61E-2</v>
      </c>
      <c r="BS974" s="16">
        <v>1.5699999999999999E-2</v>
      </c>
      <c r="BT974" s="16">
        <v>1.6299999999999999E-2</v>
      </c>
      <c r="BU974" s="16">
        <v>1.6500000000000001E-2</v>
      </c>
      <c r="BV974" s="16">
        <v>1.72E-2</v>
      </c>
      <c r="BW974" s="16">
        <v>1.77E-2</v>
      </c>
      <c r="BX974" s="16">
        <v>1.8200000000000001E-2</v>
      </c>
      <c r="BY974" s="16">
        <v>1.8700000000000001E-2</v>
      </c>
      <c r="BZ974" s="16">
        <v>1.9099999999999999E-2</v>
      </c>
      <c r="CA974" s="16">
        <v>1.9199999999999998E-2</v>
      </c>
      <c r="CB974" s="16"/>
      <c r="CC974" s="16"/>
      <c r="CD974" s="16"/>
      <c r="CE974" s="16"/>
      <c r="CH974" s="44"/>
    </row>
    <row r="975" spans="1:86" x14ac:dyDescent="0.2">
      <c r="A975" s="3" t="s">
        <v>30</v>
      </c>
      <c r="B975" s="39">
        <v>919</v>
      </c>
      <c r="C975" s="82"/>
      <c r="M975" s="16"/>
      <c r="O975" s="16"/>
      <c r="T975" s="16"/>
      <c r="AD975" s="16"/>
      <c r="AE975" s="16"/>
      <c r="AG975" s="16"/>
      <c r="AN975" s="16"/>
      <c r="AQ975" s="5"/>
      <c r="AT975" s="16"/>
      <c r="AX975" s="16">
        <v>0.124</v>
      </c>
      <c r="BA975" s="16"/>
      <c r="BB975" s="16"/>
      <c r="BC975" s="16"/>
      <c r="BD975" s="16"/>
      <c r="BE975" s="16"/>
      <c r="BF975" s="16"/>
      <c r="BH975" s="16"/>
      <c r="BI975" s="16"/>
      <c r="BJ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>
        <v>6.9000000000000006E-2</v>
      </c>
      <c r="BV975" s="16"/>
      <c r="BW975" s="16"/>
      <c r="BX975" s="16"/>
      <c r="BY975" s="16"/>
      <c r="BZ975" s="16"/>
      <c r="CA975" s="16"/>
      <c r="CB975" s="16">
        <v>4.7E-2</v>
      </c>
      <c r="CC975" s="16"/>
      <c r="CD975" s="16"/>
      <c r="CE975" s="16"/>
      <c r="CH975" s="44"/>
    </row>
    <row r="976" spans="1:86" x14ac:dyDescent="0.2">
      <c r="A976" s="3" t="s">
        <v>30</v>
      </c>
      <c r="B976" s="39">
        <v>919</v>
      </c>
      <c r="C976" s="82"/>
      <c r="M976" s="16"/>
      <c r="O976" s="16"/>
      <c r="T976" s="16"/>
      <c r="AD976" s="16"/>
      <c r="AE976" s="16"/>
      <c r="AG976" s="16"/>
      <c r="AN976" s="16"/>
      <c r="AQ976" s="5"/>
      <c r="AT976" s="16"/>
      <c r="AX976" s="16">
        <v>0.17799999999999999</v>
      </c>
      <c r="BA976" s="16"/>
      <c r="BB976" s="16"/>
      <c r="BC976" s="16"/>
      <c r="BD976" s="16"/>
      <c r="BE976" s="16"/>
      <c r="BF976" s="16"/>
      <c r="BH976" s="16"/>
      <c r="BI976" s="16"/>
      <c r="BJ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>
        <v>0.16200000000000001</v>
      </c>
      <c r="BV976" s="16"/>
      <c r="BW976" s="16"/>
      <c r="BX976" s="16"/>
      <c r="BY976" s="16"/>
      <c r="BZ976" s="16"/>
      <c r="CA976" s="16"/>
      <c r="CB976" s="16">
        <v>8.1000000000000003E-2</v>
      </c>
      <c r="CC976" s="16"/>
      <c r="CD976" s="16"/>
      <c r="CE976" s="16"/>
      <c r="CH976" s="44"/>
    </row>
    <row r="977" spans="1:86" x14ac:dyDescent="0.2">
      <c r="A977" s="3" t="s">
        <v>30</v>
      </c>
      <c r="B977" s="39">
        <v>920</v>
      </c>
      <c r="C977" s="82"/>
      <c r="M977" s="16"/>
      <c r="O977" s="16"/>
      <c r="T977" s="16"/>
      <c r="AD977" s="16"/>
      <c r="AE977" s="16"/>
      <c r="AG977" s="16"/>
      <c r="AN977" s="16"/>
      <c r="AQ977" s="5"/>
      <c r="AT977" s="16"/>
      <c r="AX977" s="16"/>
      <c r="BA977" s="16"/>
      <c r="BB977" s="16"/>
      <c r="BC977" s="16"/>
      <c r="BD977" s="16"/>
      <c r="BE977" s="16"/>
      <c r="BF977" s="16"/>
      <c r="BH977" s="16"/>
      <c r="BI977" s="16"/>
      <c r="BJ977" s="16"/>
      <c r="BL977" s="16"/>
      <c r="BM977" s="16"/>
      <c r="BN977" s="16"/>
      <c r="BO977" s="16"/>
      <c r="BP977" s="16">
        <v>2.7799999999999998E-2</v>
      </c>
      <c r="BQ977" s="16"/>
      <c r="BR977" s="16"/>
      <c r="BS977" s="16"/>
      <c r="BT977" s="16">
        <v>2.9899999999999999E-2</v>
      </c>
      <c r="BU977" s="16"/>
      <c r="BV977" s="16"/>
      <c r="BW977" s="16">
        <v>3.8199999999999998E-2</v>
      </c>
      <c r="BX977" s="16"/>
      <c r="BY977" s="16"/>
      <c r="BZ977" s="16">
        <v>3.9300000000000002E-2</v>
      </c>
      <c r="CA977" s="16"/>
      <c r="CB977" s="16"/>
      <c r="CC977" s="16"/>
      <c r="CD977" s="16">
        <v>4.1399999999999999E-2</v>
      </c>
      <c r="CE977" s="16">
        <v>4.9599999999999998E-2</v>
      </c>
      <c r="CF977" s="16">
        <v>5.0599999999999999E-2</v>
      </c>
      <c r="CH977" s="44"/>
    </row>
    <row r="978" spans="1:86" x14ac:dyDescent="0.2">
      <c r="A978" s="3" t="s">
        <v>30</v>
      </c>
      <c r="B978" s="39">
        <v>819</v>
      </c>
      <c r="C978" s="82"/>
      <c r="M978" s="16"/>
      <c r="O978" s="16"/>
      <c r="T978" s="16"/>
      <c r="AD978" s="16"/>
      <c r="AE978" s="16"/>
      <c r="AG978" s="16"/>
      <c r="AN978" s="16"/>
      <c r="AQ978" s="5"/>
      <c r="AT978" s="16"/>
      <c r="AX978" s="16"/>
      <c r="BA978" s="16"/>
      <c r="BB978" s="16"/>
      <c r="BC978" s="16"/>
      <c r="BD978" s="16"/>
      <c r="BE978" s="16"/>
      <c r="BF978" s="16"/>
      <c r="BH978" s="16"/>
      <c r="BI978" s="16"/>
      <c r="BJ978" s="16"/>
      <c r="BL978" s="16"/>
      <c r="BM978" s="16"/>
      <c r="BN978" s="16"/>
      <c r="BO978" s="16"/>
      <c r="BP978" s="16"/>
      <c r="BQ978" s="16"/>
      <c r="BR978" s="16">
        <v>0.17699999999999999</v>
      </c>
      <c r="BS978" s="16">
        <v>0.17599999999999999</v>
      </c>
      <c r="BT978" s="16">
        <v>0.17699999999999999</v>
      </c>
      <c r="BU978" s="16">
        <v>0.17699999999999999</v>
      </c>
      <c r="BV978" s="16">
        <v>0.183</v>
      </c>
      <c r="BW978" s="16">
        <v>0.182</v>
      </c>
      <c r="BX978" s="16">
        <v>0.186</v>
      </c>
      <c r="BY978" s="16">
        <v>0.184</v>
      </c>
      <c r="BZ978" s="16">
        <v>0.193</v>
      </c>
      <c r="CA978" s="16">
        <v>0.19500000000000001</v>
      </c>
      <c r="CB978" s="16">
        <v>0.20100000000000001</v>
      </c>
      <c r="CC978" s="16"/>
      <c r="CD978" s="16"/>
      <c r="CE978" s="16"/>
      <c r="CF978" s="16"/>
      <c r="CH978" s="44"/>
    </row>
    <row r="979" spans="1:86" x14ac:dyDescent="0.2">
      <c r="A979" s="3" t="s">
        <v>30</v>
      </c>
      <c r="B979" s="39">
        <v>91</v>
      </c>
      <c r="C979" s="82"/>
      <c r="M979" s="16"/>
      <c r="O979" s="16"/>
      <c r="T979" s="16"/>
      <c r="AD979" s="16"/>
      <c r="AE979" s="16"/>
      <c r="AG979" s="16"/>
      <c r="AN979" s="16"/>
      <c r="AQ979" s="5"/>
      <c r="AT979" s="16"/>
      <c r="AX979" s="16"/>
      <c r="BA979" s="16"/>
      <c r="BB979" s="16"/>
      <c r="BC979" s="16"/>
      <c r="BD979" s="16"/>
      <c r="BE979" s="16"/>
      <c r="BF979" s="16"/>
      <c r="BH979" s="16"/>
      <c r="BI979" s="16"/>
      <c r="BJ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>
        <v>1.7999999999999999E-2</v>
      </c>
      <c r="BX979" s="16">
        <v>0.02</v>
      </c>
      <c r="BY979" s="16">
        <v>2.3E-2</v>
      </c>
      <c r="BZ979" s="16">
        <v>2.4E-2</v>
      </c>
      <c r="CA979" s="16">
        <v>2.4E-2</v>
      </c>
      <c r="CB979" s="16">
        <v>2.7E-2</v>
      </c>
      <c r="CC979" s="16">
        <v>3.1E-2</v>
      </c>
      <c r="CD979" s="16"/>
      <c r="CE979" s="16"/>
      <c r="CF979" s="16"/>
      <c r="CH979" s="44"/>
    </row>
    <row r="980" spans="1:86" x14ac:dyDescent="0.2">
      <c r="A980" s="3" t="s">
        <v>30</v>
      </c>
      <c r="B980" s="39">
        <v>824</v>
      </c>
      <c r="C980" s="82"/>
      <c r="M980" s="16"/>
      <c r="O980" s="16"/>
      <c r="T980" s="16"/>
      <c r="AD980" s="16"/>
      <c r="AE980" s="16"/>
      <c r="AG980" s="16"/>
      <c r="AN980" s="16"/>
      <c r="AQ980" s="5"/>
      <c r="AT980" s="16"/>
      <c r="AX980" s="16"/>
      <c r="BA980" s="16"/>
      <c r="BB980" s="16"/>
      <c r="BC980" s="16"/>
      <c r="BD980" s="16"/>
      <c r="BE980" s="16"/>
      <c r="BF980" s="16"/>
      <c r="BH980" s="16"/>
      <c r="BI980" s="16"/>
      <c r="BJ980" s="16"/>
      <c r="BL980" s="16"/>
      <c r="BM980" s="16"/>
      <c r="BN980" s="16"/>
      <c r="BO980" s="16"/>
      <c r="BP980" s="16"/>
      <c r="BQ980" s="16"/>
      <c r="BR980" s="16">
        <v>6.6500000000000004E-2</v>
      </c>
      <c r="BS980"/>
      <c r="BT980" s="16">
        <v>6.6100000000000006E-2</v>
      </c>
      <c r="BU980" s="16">
        <v>6.8400000000000002E-2</v>
      </c>
      <c r="BV980" s="16">
        <v>6.5699999999999995E-2</v>
      </c>
      <c r="BW980" s="16">
        <v>6.4500000000000002E-2</v>
      </c>
      <c r="BX980" s="16">
        <v>6.5100000000000005E-2</v>
      </c>
      <c r="BZ980" s="16">
        <v>7.3700000000000002E-2</v>
      </c>
      <c r="CA980" s="16">
        <v>7.0699999999999999E-2</v>
      </c>
      <c r="CB980" s="16">
        <v>7.8E-2</v>
      </c>
      <c r="CC980" s="16">
        <v>9.1800000000000007E-2</v>
      </c>
      <c r="CD980" s="16"/>
      <c r="CE980" s="16"/>
      <c r="CF980" s="16"/>
      <c r="CH980" s="44"/>
    </row>
    <row r="981" spans="1:86" x14ac:dyDescent="0.2">
      <c r="A981" s="3" t="s">
        <v>30</v>
      </c>
      <c r="B981" s="39">
        <v>824</v>
      </c>
      <c r="C981" s="82"/>
      <c r="M981" s="16"/>
      <c r="O981" s="16"/>
      <c r="T981" s="16"/>
      <c r="AD981" s="16"/>
      <c r="AE981" s="16"/>
      <c r="AG981" s="16"/>
      <c r="AN981" s="16"/>
      <c r="AQ981" s="5"/>
      <c r="AT981" s="16"/>
      <c r="AX981" s="16"/>
      <c r="BA981" s="16"/>
      <c r="BB981" s="16"/>
      <c r="BC981" s="16"/>
      <c r="BD981" s="16"/>
      <c r="BE981" s="16"/>
      <c r="BF981" s="16"/>
      <c r="BH981" s="16"/>
      <c r="BI981" s="16"/>
      <c r="BJ981" s="16"/>
      <c r="BL981" s="16"/>
      <c r="BM981" s="16"/>
      <c r="BN981" s="16"/>
      <c r="BO981" s="16"/>
      <c r="BP981" s="16"/>
      <c r="BQ981" s="16"/>
      <c r="BR981" s="16">
        <v>0.23200000000000001</v>
      </c>
      <c r="BS981"/>
      <c r="BT981" s="16">
        <v>0.24399999999999999</v>
      </c>
      <c r="BU981" s="16">
        <v>0.25900000000000001</v>
      </c>
      <c r="BV981" s="16">
        <v>0.23799999999999999</v>
      </c>
      <c r="BW981" s="16">
        <v>0.23599999999999999</v>
      </c>
      <c r="BX981" s="16">
        <v>0.23400000000000001</v>
      </c>
      <c r="BZ981" s="16">
        <v>0.28799999999999998</v>
      </c>
      <c r="CA981" s="16">
        <v>0.26900000000000002</v>
      </c>
      <c r="CB981" s="16">
        <v>0.32300000000000001</v>
      </c>
      <c r="CC981" s="16">
        <v>0.41099999999999998</v>
      </c>
      <c r="CD981" s="16"/>
      <c r="CE981" s="16"/>
      <c r="CF981" s="16"/>
      <c r="CH981" s="44"/>
    </row>
    <row r="982" spans="1:86" s="46" customFormat="1" x14ac:dyDescent="0.2">
      <c r="A982" s="38" t="s">
        <v>30</v>
      </c>
      <c r="B982" s="40">
        <v>824</v>
      </c>
      <c r="C982" s="83"/>
      <c r="M982" s="63"/>
      <c r="O982" s="63"/>
      <c r="T982" s="63"/>
      <c r="AD982" s="63"/>
      <c r="AE982" s="63"/>
      <c r="AG982" s="63"/>
      <c r="AN982" s="63"/>
      <c r="AQ982" s="48"/>
      <c r="AT982" s="63"/>
      <c r="AX982" s="63"/>
      <c r="BA982" s="63"/>
      <c r="BB982" s="63"/>
      <c r="BC982" s="63"/>
      <c r="BD982" s="63"/>
      <c r="BE982" s="63"/>
      <c r="BF982" s="63"/>
      <c r="BH982" s="63"/>
      <c r="BI982" s="63"/>
      <c r="BJ982" s="63"/>
      <c r="BL982" s="63"/>
      <c r="BM982" s="63"/>
      <c r="BN982" s="63"/>
      <c r="BO982" s="63"/>
      <c r="BP982" s="63"/>
      <c r="BQ982" s="63"/>
      <c r="BR982" s="63">
        <v>8.5999999999999993E-2</v>
      </c>
      <c r="BT982" s="63">
        <v>8.5999999999999993E-2</v>
      </c>
      <c r="BU982" s="63">
        <v>9.7000000000000003E-2</v>
      </c>
      <c r="BV982" s="63">
        <v>9.6000000000000002E-2</v>
      </c>
      <c r="BW982" s="63">
        <v>9.1999999999999998E-2</v>
      </c>
      <c r="BX982" s="63">
        <v>9.4E-2</v>
      </c>
      <c r="BZ982" s="63">
        <v>0.128</v>
      </c>
      <c r="CA982" s="63">
        <v>0.113</v>
      </c>
      <c r="CB982" s="63">
        <v>0.14399999999999999</v>
      </c>
      <c r="CC982" s="63">
        <v>0.21099999999999999</v>
      </c>
      <c r="CD982" s="63"/>
      <c r="CE982" s="63"/>
      <c r="CF982" s="63"/>
      <c r="CH982" s="51"/>
    </row>
    <row r="983" spans="1:86" x14ac:dyDescent="0.2">
      <c r="A983" s="3" t="s">
        <v>31</v>
      </c>
      <c r="B983" s="39">
        <v>921</v>
      </c>
      <c r="C983" s="82"/>
      <c r="M983" s="15"/>
      <c r="N983" s="15"/>
      <c r="O983" s="16"/>
      <c r="P983" s="15"/>
      <c r="Q983" s="15"/>
      <c r="R983" s="15"/>
      <c r="S983" s="15"/>
      <c r="T983" s="15"/>
      <c r="U983" s="15"/>
      <c r="V983" s="15"/>
      <c r="W983" s="28"/>
      <c r="X983" s="15"/>
      <c r="Y983" s="15"/>
      <c r="Z983" s="15"/>
      <c r="AA983" s="29"/>
      <c r="AB983" s="28"/>
      <c r="AC983" s="29"/>
      <c r="AD983" s="29"/>
      <c r="AE983" s="29"/>
      <c r="AF983" s="29"/>
      <c r="AG983" s="16"/>
      <c r="AK983" s="5"/>
      <c r="AS983" s="16">
        <v>1.1000000000000001E-3</v>
      </c>
      <c r="AU983" s="5"/>
      <c r="BB983" s="5"/>
      <c r="BC983" s="18">
        <v>1.2999999999999999E-3</v>
      </c>
      <c r="BD983" s="5"/>
      <c r="BG983" s="10"/>
      <c r="BK983" s="5"/>
      <c r="BL983" s="10"/>
      <c r="BM983" s="18">
        <v>4.3E-3</v>
      </c>
      <c r="BP983"/>
      <c r="BR983"/>
      <c r="BS983"/>
      <c r="BU983" s="5"/>
      <c r="CH983" s="44"/>
    </row>
    <row r="984" spans="1:86" x14ac:dyDescent="0.2">
      <c r="A984" s="3" t="s">
        <v>31</v>
      </c>
      <c r="B984" s="39">
        <v>921</v>
      </c>
      <c r="C984" s="82"/>
      <c r="M984" s="15"/>
      <c r="N984" s="15"/>
      <c r="O984" s="16"/>
      <c r="P984" s="15"/>
      <c r="Q984" s="15"/>
      <c r="R984" s="15"/>
      <c r="S984" s="15"/>
      <c r="T984" s="15"/>
      <c r="U984" s="15"/>
      <c r="V984" s="15"/>
      <c r="W984" s="28"/>
      <c r="X984" s="15"/>
      <c r="Y984" s="15"/>
      <c r="Z984" s="15"/>
      <c r="AA984" s="29"/>
      <c r="AB984" s="28"/>
      <c r="AC984" s="29"/>
      <c r="AD984" s="29"/>
      <c r="AE984" s="29"/>
      <c r="AF984" s="29"/>
      <c r="AG984" s="16"/>
      <c r="AK984" s="5"/>
      <c r="AQ984" s="5"/>
      <c r="AS984" s="16">
        <v>0</v>
      </c>
      <c r="AU984" s="5"/>
      <c r="BB984" s="5"/>
      <c r="BC984" s="18">
        <v>4.4999999999999997E-3</v>
      </c>
      <c r="BD984" s="5"/>
      <c r="BG984" s="18"/>
      <c r="BH984" s="18"/>
      <c r="BI984" s="18"/>
      <c r="BJ984" s="18"/>
      <c r="BK984" s="18"/>
      <c r="BL984" s="18"/>
      <c r="BM984" s="18">
        <v>2.3199999999999998E-2</v>
      </c>
      <c r="BN984" s="18"/>
      <c r="BO984" s="18"/>
      <c r="BP984" s="18"/>
      <c r="BR984"/>
      <c r="BS984"/>
      <c r="BU984" s="5"/>
      <c r="CH984" s="44"/>
    </row>
    <row r="985" spans="1:86" x14ac:dyDescent="0.2">
      <c r="A985" s="3" t="s">
        <v>31</v>
      </c>
      <c r="B985" s="39">
        <v>921</v>
      </c>
      <c r="C985" s="82"/>
      <c r="M985" s="15"/>
      <c r="N985" s="15"/>
      <c r="O985" s="16"/>
      <c r="P985" s="15"/>
      <c r="Q985" s="15"/>
      <c r="R985" s="1"/>
      <c r="S985" s="1"/>
      <c r="T985" s="1"/>
      <c r="U985" s="1"/>
      <c r="V985" s="1"/>
      <c r="W985" s="5"/>
      <c r="X985" s="1"/>
      <c r="Y985" s="1"/>
      <c r="Z985" s="1"/>
      <c r="AB985" s="5"/>
      <c r="AG985" s="16"/>
      <c r="AK985" s="5"/>
      <c r="AQ985" s="5"/>
      <c r="AS985" s="16">
        <v>1.0800000000000001E-2</v>
      </c>
      <c r="AU985" s="5"/>
      <c r="BB985" s="5"/>
      <c r="BC985" s="18">
        <v>3.9600000000000003E-2</v>
      </c>
      <c r="BD985" s="5"/>
      <c r="BG985" s="18"/>
      <c r="BH985" s="18"/>
      <c r="BI985" s="18"/>
      <c r="BJ985" s="18"/>
      <c r="BK985" s="18"/>
      <c r="BL985" s="18"/>
      <c r="BM985" s="18">
        <v>9.9900000000000003E-2</v>
      </c>
      <c r="BN985" s="18"/>
      <c r="BO985" s="18"/>
      <c r="BP985" s="18"/>
      <c r="BR985"/>
      <c r="BS985"/>
      <c r="BU985" s="5"/>
      <c r="CH985" s="44"/>
    </row>
    <row r="986" spans="1:86" x14ac:dyDescent="0.2">
      <c r="A986" s="3" t="s">
        <v>31</v>
      </c>
      <c r="B986" s="39">
        <v>922</v>
      </c>
      <c r="C986" s="82"/>
      <c r="M986" s="15"/>
      <c r="N986" s="15"/>
      <c r="O986" s="16"/>
      <c r="P986" s="15"/>
      <c r="Q986" s="15"/>
      <c r="R986" s="1"/>
      <c r="S986" s="1"/>
      <c r="T986" s="1"/>
      <c r="U986" s="1"/>
      <c r="V986" s="1"/>
      <c r="W986" s="5"/>
      <c r="X986" s="1"/>
      <c r="Y986" s="1"/>
      <c r="Z986" s="1"/>
      <c r="AB986" s="5"/>
      <c r="AG986" s="16"/>
      <c r="AK986" s="5"/>
      <c r="AQ986" s="5"/>
      <c r="AS986" s="16"/>
      <c r="AU986" s="5"/>
      <c r="BB986" s="5"/>
      <c r="BC986" s="18"/>
      <c r="BD986" s="5"/>
      <c r="BG986" s="18"/>
      <c r="BH986" s="18"/>
      <c r="BI986" s="16"/>
      <c r="BJ986" s="18"/>
      <c r="BK986" s="18"/>
      <c r="BL986" s="18"/>
      <c r="BM986" s="18"/>
      <c r="BN986" s="18"/>
      <c r="BO986" s="18"/>
      <c r="BP986" s="18"/>
      <c r="BR986"/>
      <c r="BS986" s="16"/>
      <c r="BT986" s="16">
        <v>5.8000000000000003E-2</v>
      </c>
      <c r="BU986" s="5"/>
      <c r="BV986" s="16">
        <v>6.1199999999999997E-2</v>
      </c>
      <c r="BZ986" s="16">
        <v>7.0400000000000004E-2</v>
      </c>
      <c r="CA986" s="16"/>
      <c r="CB986" s="16"/>
      <c r="CH986" s="44"/>
    </row>
    <row r="987" spans="1:86" x14ac:dyDescent="0.2">
      <c r="A987" s="3" t="s">
        <v>31</v>
      </c>
      <c r="B987" s="39">
        <v>923</v>
      </c>
      <c r="C987" s="82"/>
      <c r="M987" s="15"/>
      <c r="N987" s="15"/>
      <c r="O987" s="16"/>
      <c r="P987" s="15"/>
      <c r="Q987" s="15"/>
      <c r="R987" s="1"/>
      <c r="S987" s="1"/>
      <c r="T987" s="1"/>
      <c r="U987" s="1"/>
      <c r="V987" s="1"/>
      <c r="W987" s="5"/>
      <c r="X987" s="1"/>
      <c r="Y987" s="1"/>
      <c r="Z987" s="1"/>
      <c r="AB987" s="5"/>
      <c r="AG987" s="16"/>
      <c r="AK987" s="5"/>
      <c r="AQ987" s="5"/>
      <c r="AS987" s="16"/>
      <c r="AU987" s="5"/>
      <c r="BB987" s="5"/>
      <c r="BC987" s="18"/>
      <c r="BD987" s="5"/>
      <c r="BG987" s="18"/>
      <c r="BH987" s="18"/>
      <c r="BI987" s="16"/>
      <c r="BJ987" s="18"/>
      <c r="BK987" s="18"/>
      <c r="BL987" s="18"/>
      <c r="BM987" s="18"/>
      <c r="BN987" s="18"/>
      <c r="BO987" s="18"/>
      <c r="BP987" s="18"/>
      <c r="BR987"/>
      <c r="BS987" s="16"/>
      <c r="BT987" s="16"/>
      <c r="BU987" s="5"/>
      <c r="BV987" s="16"/>
      <c r="BX987" s="16">
        <v>0.14899999999999999</v>
      </c>
      <c r="BZ987" s="16"/>
      <c r="CA987" s="16"/>
      <c r="CB987" s="16"/>
      <c r="CF987" s="16">
        <v>0.28000000000000003</v>
      </c>
      <c r="CH987" s="44"/>
    </row>
    <row r="988" spans="1:86" x14ac:dyDescent="0.2">
      <c r="A988" s="3" t="s">
        <v>31</v>
      </c>
      <c r="B988" s="39">
        <v>819</v>
      </c>
      <c r="C988" s="82"/>
      <c r="M988" s="15"/>
      <c r="N988" s="15"/>
      <c r="O988" s="16"/>
      <c r="P988" s="15"/>
      <c r="Q988" s="15"/>
      <c r="R988" s="1"/>
      <c r="S988" s="1"/>
      <c r="T988" s="1"/>
      <c r="U988" s="1"/>
      <c r="V988" s="1"/>
      <c r="W988" s="5"/>
      <c r="X988" s="1"/>
      <c r="Y988" s="1"/>
      <c r="Z988" s="1"/>
      <c r="AB988" s="5"/>
      <c r="AG988" s="16"/>
      <c r="AK988" s="5"/>
      <c r="AQ988" s="5"/>
      <c r="AS988" s="16"/>
      <c r="AU988" s="5"/>
      <c r="BB988" s="5"/>
      <c r="BC988" s="18"/>
      <c r="BD988" s="5"/>
      <c r="BG988" s="18"/>
      <c r="BH988" s="18"/>
      <c r="BI988" s="16"/>
      <c r="BJ988" s="18"/>
      <c r="BK988" s="18"/>
      <c r="BL988" s="18"/>
      <c r="BM988" s="18"/>
      <c r="BN988" s="18"/>
      <c r="BO988" s="18"/>
      <c r="BP988" s="18"/>
      <c r="BR988" s="16">
        <v>1.5E-3</v>
      </c>
      <c r="BS988" s="16">
        <v>1.4E-3</v>
      </c>
      <c r="BT988" s="16">
        <v>1.6999999999999999E-3</v>
      </c>
      <c r="BU988" s="16">
        <v>1.5E-3</v>
      </c>
      <c r="BV988" s="16">
        <v>1.5E-3</v>
      </c>
      <c r="BW988" s="16">
        <v>1.2999999999999999E-3</v>
      </c>
      <c r="BX988" s="16">
        <v>1.1000000000000001E-3</v>
      </c>
      <c r="BY988" s="16">
        <v>1.1000000000000001E-3</v>
      </c>
      <c r="BZ988" s="16">
        <v>1.1000000000000001E-3</v>
      </c>
      <c r="CA988" s="16">
        <v>1.1000000000000001E-3</v>
      </c>
      <c r="CB988" s="16">
        <v>1.1000000000000001E-3</v>
      </c>
      <c r="CF988" s="16"/>
      <c r="CH988" s="44"/>
    </row>
    <row r="989" spans="1:86" x14ac:dyDescent="0.2">
      <c r="A989" s="3" t="s">
        <v>31</v>
      </c>
      <c r="B989" s="39">
        <v>820</v>
      </c>
      <c r="C989" s="82"/>
      <c r="M989" s="15"/>
      <c r="N989" s="15"/>
      <c r="O989" s="16"/>
      <c r="P989" s="15"/>
      <c r="Q989" s="15"/>
      <c r="R989" s="1"/>
      <c r="S989" s="1"/>
      <c r="T989" s="1"/>
      <c r="U989" s="1"/>
      <c r="V989" s="1"/>
      <c r="W989" s="5"/>
      <c r="X989" s="1"/>
      <c r="Y989" s="1"/>
      <c r="Z989" s="1"/>
      <c r="AB989" s="5"/>
      <c r="AG989" s="16"/>
      <c r="AK989" s="5"/>
      <c r="AQ989" s="5"/>
      <c r="AS989" s="16"/>
      <c r="AU989" s="5"/>
      <c r="BB989" s="5"/>
      <c r="BC989" s="18"/>
      <c r="BD989" s="5"/>
      <c r="BG989" s="18"/>
      <c r="BH989" s="18"/>
      <c r="BI989" s="16"/>
      <c r="BJ989" s="18"/>
      <c r="BK989" s="18"/>
      <c r="BL989" s="18"/>
      <c r="BM989" s="18"/>
      <c r="BN989" s="16">
        <v>0.14299999999999999</v>
      </c>
      <c r="BO989" s="18"/>
      <c r="BP989" s="18"/>
      <c r="BR989" s="16"/>
      <c r="BS989" s="16"/>
      <c r="BT989" s="16"/>
      <c r="BU989" s="16"/>
      <c r="BV989" s="16"/>
      <c r="BW989" s="16"/>
      <c r="BX989" s="16">
        <v>0.186</v>
      </c>
      <c r="BY989" s="16"/>
      <c r="BZ989" s="16"/>
      <c r="CA989" s="16"/>
      <c r="CB989" s="16"/>
      <c r="CD989" s="16">
        <v>0.186</v>
      </c>
      <c r="CF989" s="16"/>
      <c r="CH989" s="44"/>
    </row>
    <row r="990" spans="1:86" x14ac:dyDescent="0.2">
      <c r="A990" s="3" t="s">
        <v>31</v>
      </c>
      <c r="B990" s="39">
        <v>820</v>
      </c>
      <c r="C990" s="82"/>
      <c r="M990" s="15"/>
      <c r="N990" s="15"/>
      <c r="O990" s="16"/>
      <c r="P990" s="15"/>
      <c r="Q990" s="15"/>
      <c r="R990" s="1"/>
      <c r="S990" s="1"/>
      <c r="T990" s="1"/>
      <c r="U990" s="1"/>
      <c r="V990" s="1"/>
      <c r="W990" s="5"/>
      <c r="X990" s="1"/>
      <c r="Y990" s="1"/>
      <c r="Z990" s="1"/>
      <c r="AB990" s="5"/>
      <c r="AG990" s="16"/>
      <c r="AK990" s="5"/>
      <c r="AQ990" s="5"/>
      <c r="AS990" s="16"/>
      <c r="AU990" s="5"/>
      <c r="BB990" s="5"/>
      <c r="BC990" s="18"/>
      <c r="BD990" s="5"/>
      <c r="BG990" s="18"/>
      <c r="BH990" s="18"/>
      <c r="BI990" s="16"/>
      <c r="BJ990" s="18"/>
      <c r="BK990" s="18"/>
      <c r="BL990" s="18"/>
      <c r="BM990" s="18"/>
      <c r="BN990" s="16">
        <v>4.8000000000000001E-2</v>
      </c>
      <c r="BO990" s="18"/>
      <c r="BP990" s="18"/>
      <c r="BR990" s="16"/>
      <c r="BS990" s="16"/>
      <c r="BT990" s="16"/>
      <c r="BU990" s="16"/>
      <c r="BV990" s="16"/>
      <c r="BW990" s="16"/>
      <c r="BX990" s="16">
        <v>5.2999999999999999E-2</v>
      </c>
      <c r="BY990" s="16"/>
      <c r="BZ990" s="16"/>
      <c r="CA990" s="16"/>
      <c r="CB990" s="16"/>
      <c r="CD990" s="16">
        <v>5.0000000000000001E-3</v>
      </c>
      <c r="CF990" s="16"/>
      <c r="CH990" s="44"/>
    </row>
    <row r="991" spans="1:86" x14ac:dyDescent="0.2">
      <c r="A991" s="3" t="s">
        <v>31</v>
      </c>
      <c r="B991" s="39">
        <v>820</v>
      </c>
      <c r="C991" s="82"/>
      <c r="M991" s="15"/>
      <c r="N991" s="15"/>
      <c r="O991" s="16"/>
      <c r="P991" s="15"/>
      <c r="Q991" s="15"/>
      <c r="R991" s="1"/>
      <c r="S991" s="1"/>
      <c r="T991" s="1"/>
      <c r="U991" s="1"/>
      <c r="V991" s="1"/>
      <c r="W991" s="5"/>
      <c r="X991" s="1"/>
      <c r="Y991" s="1"/>
      <c r="Z991" s="1"/>
      <c r="AB991" s="5"/>
      <c r="AG991" s="16"/>
      <c r="AK991" s="5"/>
      <c r="AQ991" s="5"/>
      <c r="AS991" s="16"/>
      <c r="AU991" s="5"/>
      <c r="BB991" s="5"/>
      <c r="BC991" s="18"/>
      <c r="BD991" s="5"/>
      <c r="BG991" s="18"/>
      <c r="BH991" s="18"/>
      <c r="BI991" s="16"/>
      <c r="BJ991" s="18"/>
      <c r="BK991" s="18"/>
      <c r="BL991" s="18"/>
      <c r="BM991" s="18"/>
      <c r="BN991" s="16">
        <v>0.03</v>
      </c>
      <c r="BO991" s="18"/>
      <c r="BP991" s="18"/>
      <c r="BR991" s="16"/>
      <c r="BS991" s="16"/>
      <c r="BT991" s="16"/>
      <c r="BU991" s="16"/>
      <c r="BV991" s="16"/>
      <c r="BW991" s="16"/>
      <c r="BX991" s="16">
        <v>1.2999999999999999E-2</v>
      </c>
      <c r="BY991" s="16"/>
      <c r="BZ991" s="16"/>
      <c r="CA991" s="16"/>
      <c r="CB991" s="16"/>
      <c r="CD991" s="16">
        <v>3.5999999999999997E-2</v>
      </c>
      <c r="CF991" s="16"/>
      <c r="CH991" s="44"/>
    </row>
    <row r="992" spans="1:86" x14ac:dyDescent="0.2">
      <c r="A992" s="3" t="s">
        <v>31</v>
      </c>
      <c r="B992" s="39">
        <v>820</v>
      </c>
      <c r="C992" s="82"/>
      <c r="M992" s="15"/>
      <c r="N992" s="15"/>
      <c r="O992" s="16"/>
      <c r="P992" s="15"/>
      <c r="Q992" s="15"/>
      <c r="R992" s="1"/>
      <c r="S992" s="1"/>
      <c r="T992" s="1"/>
      <c r="U992" s="1"/>
      <c r="V992" s="1"/>
      <c r="W992" s="5"/>
      <c r="X992" s="1"/>
      <c r="Y992" s="1"/>
      <c r="Z992" s="1"/>
      <c r="AB992" s="5"/>
      <c r="AG992" s="16"/>
      <c r="AK992" s="5"/>
      <c r="AQ992" s="5"/>
      <c r="AS992" s="16"/>
      <c r="AU992" s="5"/>
      <c r="BB992" s="5"/>
      <c r="BC992" s="18"/>
      <c r="BD992" s="5"/>
      <c r="BG992" s="18"/>
      <c r="BH992" s="18"/>
      <c r="BI992" s="16"/>
      <c r="BJ992" s="18"/>
      <c r="BK992" s="18"/>
      <c r="BL992" s="18"/>
      <c r="BM992" s="18"/>
      <c r="BN992" s="16">
        <v>5.0000000000000001E-3</v>
      </c>
      <c r="BO992" s="18"/>
      <c r="BP992" s="18"/>
      <c r="BR992" s="16"/>
      <c r="BS992" s="16"/>
      <c r="BT992" s="16"/>
      <c r="BU992" s="16"/>
      <c r="BV992" s="16"/>
      <c r="BW992" s="16"/>
      <c r="BX992" s="16">
        <v>3.0000000000000001E-3</v>
      </c>
      <c r="BY992" s="16"/>
      <c r="BZ992" s="16"/>
      <c r="CA992" s="16"/>
      <c r="CB992" s="16"/>
      <c r="CD992" s="16">
        <v>3.0000000000000001E-3</v>
      </c>
      <c r="CF992" s="16"/>
      <c r="CH992" s="44"/>
    </row>
    <row r="993" spans="1:86" x14ac:dyDescent="0.2">
      <c r="A993" s="3" t="s">
        <v>31</v>
      </c>
      <c r="B993" s="39">
        <v>91</v>
      </c>
      <c r="C993" s="82"/>
      <c r="M993" s="15"/>
      <c r="N993" s="15"/>
      <c r="O993" s="16"/>
      <c r="P993" s="15"/>
      <c r="Q993" s="15"/>
      <c r="R993" s="1"/>
      <c r="S993" s="1"/>
      <c r="T993" s="1"/>
      <c r="U993" s="1"/>
      <c r="V993" s="1"/>
      <c r="W993" s="5"/>
      <c r="X993" s="1"/>
      <c r="Y993" s="1"/>
      <c r="Z993" s="1"/>
      <c r="AB993" s="5"/>
      <c r="AG993" s="16"/>
      <c r="AK993" s="5"/>
      <c r="AQ993" s="5"/>
      <c r="AS993" s="16"/>
      <c r="AU993" s="5"/>
      <c r="BB993" s="5"/>
      <c r="BC993" s="18"/>
      <c r="BD993" s="5"/>
      <c r="BG993" s="18"/>
      <c r="BH993" s="18"/>
      <c r="BI993" s="16"/>
      <c r="BJ993" s="18"/>
      <c r="BK993" s="18"/>
      <c r="BL993" s="18"/>
      <c r="BM993" s="18"/>
      <c r="BN993" s="16"/>
      <c r="BO993" s="18"/>
      <c r="BP993" s="18"/>
      <c r="BR993" s="16"/>
      <c r="BS993" s="16"/>
      <c r="BT993" s="16"/>
      <c r="BU993" s="16"/>
      <c r="BV993" s="16"/>
      <c r="BW993" s="16">
        <v>1E-3</v>
      </c>
      <c r="BX993" s="16">
        <v>1E-3</v>
      </c>
      <c r="BY993" s="16">
        <v>1E-3</v>
      </c>
      <c r="BZ993" s="16">
        <v>2E-3</v>
      </c>
      <c r="CA993" s="16">
        <v>1E-3</v>
      </c>
      <c r="CB993" s="16">
        <v>2E-3</v>
      </c>
      <c r="CC993" s="16">
        <v>2E-3</v>
      </c>
      <c r="CD993" s="16"/>
      <c r="CF993" s="16"/>
      <c r="CH993" s="44"/>
    </row>
    <row r="994" spans="1:86" x14ac:dyDescent="0.2">
      <c r="A994" s="3" t="s">
        <v>31</v>
      </c>
      <c r="B994" s="39">
        <v>924</v>
      </c>
      <c r="C994" s="82"/>
      <c r="M994" s="15"/>
      <c r="N994" s="15"/>
      <c r="O994" s="16"/>
      <c r="P994" s="15"/>
      <c r="Q994" s="15"/>
      <c r="R994" s="1"/>
      <c r="S994" s="1"/>
      <c r="T994" s="1"/>
      <c r="U994" s="1"/>
      <c r="V994" s="1"/>
      <c r="W994" s="5"/>
      <c r="X994" s="1"/>
      <c r="Y994" s="1"/>
      <c r="Z994" s="1"/>
      <c r="AB994" s="5"/>
      <c r="AG994" s="16"/>
      <c r="AK994" s="5"/>
      <c r="AQ994" s="5"/>
      <c r="AS994" s="16"/>
      <c r="AU994" s="5"/>
      <c r="BB994" s="5"/>
      <c r="BC994" s="18"/>
      <c r="BD994" s="5"/>
      <c r="BG994" s="18"/>
      <c r="BH994" s="18"/>
      <c r="BI994" s="16">
        <v>4.2999999999999997E-2</v>
      </c>
      <c r="BJ994" s="18"/>
      <c r="BK994" s="18"/>
      <c r="BL994" s="18"/>
      <c r="BM994" s="18"/>
      <c r="BN994" s="16"/>
      <c r="BO994" s="18"/>
      <c r="BP994" s="18"/>
      <c r="BR994" s="16"/>
      <c r="BS994" s="16">
        <v>8.4000000000000005E-2</v>
      </c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F994" s="16"/>
      <c r="CH994" s="44"/>
    </row>
    <row r="995" spans="1:86" x14ac:dyDescent="0.2">
      <c r="A995" s="3" t="s">
        <v>31</v>
      </c>
      <c r="B995" s="39">
        <v>925</v>
      </c>
      <c r="C995" s="82"/>
      <c r="M995" s="15"/>
      <c r="N995" s="15"/>
      <c r="O995" s="16"/>
      <c r="P995" s="15"/>
      <c r="Q995" s="15"/>
      <c r="R995" s="1"/>
      <c r="S995" s="1"/>
      <c r="T995" s="1"/>
      <c r="U995" s="1"/>
      <c r="V995" s="1"/>
      <c r="W995" s="5"/>
      <c r="X995" s="1"/>
      <c r="Y995" s="1"/>
      <c r="Z995" s="1"/>
      <c r="AB995" s="5"/>
      <c r="AG995" s="16"/>
      <c r="AK995" s="5"/>
      <c r="AQ995" s="5"/>
      <c r="AS995" s="16"/>
      <c r="AU995" s="5"/>
      <c r="BB995" s="5"/>
      <c r="BC995" s="18"/>
      <c r="BD995" s="5"/>
      <c r="BG995" s="18"/>
      <c r="BH995" s="18"/>
      <c r="BI995" s="16"/>
      <c r="BJ995" s="18"/>
      <c r="BK995" s="18"/>
      <c r="BL995" s="18"/>
      <c r="BM995" s="18"/>
      <c r="BN995" s="16"/>
      <c r="BO995" s="18"/>
      <c r="BP995" s="18"/>
      <c r="BQ995" s="16">
        <v>3.5000000000000003E-2</v>
      </c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>
        <v>7.8E-2</v>
      </c>
      <c r="CD995" s="16"/>
      <c r="CF995" s="16"/>
      <c r="CH995" s="44"/>
    </row>
    <row r="996" spans="1:86" x14ac:dyDescent="0.2">
      <c r="A996" s="3" t="s">
        <v>31</v>
      </c>
      <c r="B996" s="39">
        <v>926</v>
      </c>
      <c r="C996" s="82"/>
      <c r="M996" s="15"/>
      <c r="N996" s="15"/>
      <c r="O996" s="16"/>
      <c r="P996" s="15"/>
      <c r="Q996" s="15"/>
      <c r="R996" s="1"/>
      <c r="S996" s="1"/>
      <c r="T996" s="1"/>
      <c r="U996" s="1"/>
      <c r="V996" s="1"/>
      <c r="W996" s="5"/>
      <c r="X996" s="1"/>
      <c r="Y996" s="1"/>
      <c r="Z996" s="1"/>
      <c r="AB996" s="5"/>
      <c r="AG996" s="16"/>
      <c r="AK996" s="5"/>
      <c r="AQ996" s="5"/>
      <c r="AS996" s="16"/>
      <c r="AU996" s="5"/>
      <c r="BB996" s="5"/>
      <c r="BC996" s="18"/>
      <c r="BD996" s="5"/>
      <c r="BG996" s="18"/>
      <c r="BH996" s="18"/>
      <c r="BI996" s="16"/>
      <c r="BJ996" s="18"/>
      <c r="BK996" s="18"/>
      <c r="BL996" s="18"/>
      <c r="BM996" s="18"/>
      <c r="BN996" s="16"/>
      <c r="BO996" s="18"/>
      <c r="BP996" s="18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>
        <v>2.0000000000000001E-4</v>
      </c>
      <c r="CD996" s="16">
        <v>8.0000000000000004E-4</v>
      </c>
      <c r="CF996" s="16"/>
      <c r="CH996" s="44"/>
    </row>
    <row r="997" spans="1:86" x14ac:dyDescent="0.2">
      <c r="A997" s="3" t="s">
        <v>31</v>
      </c>
      <c r="B997" s="39">
        <v>926</v>
      </c>
      <c r="C997" s="82"/>
      <c r="M997" s="15"/>
      <c r="N997" s="15"/>
      <c r="O997" s="16"/>
      <c r="P997" s="15"/>
      <c r="Q997" s="15"/>
      <c r="R997" s="1"/>
      <c r="S997" s="1"/>
      <c r="T997" s="1"/>
      <c r="U997" s="1"/>
      <c r="V997" s="1"/>
      <c r="W997" s="5"/>
      <c r="X997" s="1"/>
      <c r="Y997" s="1"/>
      <c r="Z997" s="1"/>
      <c r="AB997" s="5"/>
      <c r="AG997" s="16"/>
      <c r="AK997" s="5"/>
      <c r="AQ997" s="5"/>
      <c r="AS997" s="16"/>
      <c r="AU997" s="5"/>
      <c r="BB997" s="5"/>
      <c r="BC997" s="18"/>
      <c r="BD997" s="5"/>
      <c r="BG997" s="18"/>
      <c r="BH997" s="18"/>
      <c r="BI997" s="16"/>
      <c r="BJ997" s="18"/>
      <c r="BK997" s="18"/>
      <c r="BL997" s="18"/>
      <c r="BM997" s="18"/>
      <c r="BN997" s="16"/>
      <c r="BO997" s="18"/>
      <c r="BP997" s="18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>
        <v>4.0000000000000001E-3</v>
      </c>
      <c r="CD997" s="16">
        <v>9.4000000000000004E-3</v>
      </c>
      <c r="CF997" s="16"/>
      <c r="CH997" s="44"/>
    </row>
    <row r="998" spans="1:86" x14ac:dyDescent="0.2">
      <c r="A998" s="3" t="s">
        <v>31</v>
      </c>
      <c r="B998" s="39">
        <v>926</v>
      </c>
      <c r="C998" s="82"/>
      <c r="M998" s="15"/>
      <c r="N998" s="15"/>
      <c r="O998" s="16"/>
      <c r="P998" s="15"/>
      <c r="Q998" s="15"/>
      <c r="R998" s="1"/>
      <c r="S998" s="1"/>
      <c r="T998" s="1"/>
      <c r="U998" s="1"/>
      <c r="V998" s="1"/>
      <c r="W998" s="5"/>
      <c r="X998" s="1"/>
      <c r="Y998" s="1"/>
      <c r="Z998" s="1"/>
      <c r="AB998" s="5"/>
      <c r="AG998" s="16"/>
      <c r="AK998" s="5"/>
      <c r="AQ998" s="5"/>
      <c r="AS998" s="16"/>
      <c r="AU998" s="5"/>
      <c r="BB998" s="5"/>
      <c r="BC998" s="18"/>
      <c r="BD998" s="5"/>
      <c r="BG998" s="18"/>
      <c r="BH998" s="18"/>
      <c r="BI998" s="16"/>
      <c r="BJ998" s="18"/>
      <c r="BK998" s="18"/>
      <c r="BL998" s="18"/>
      <c r="BM998" s="18"/>
      <c r="BN998" s="16"/>
      <c r="BO998" s="18"/>
      <c r="BP998" s="18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>
        <v>2.0000000000000001E-4</v>
      </c>
      <c r="CF998" s="16">
        <v>1.1999999999999999E-3</v>
      </c>
      <c r="CH998" s="44"/>
    </row>
    <row r="999" spans="1:86" x14ac:dyDescent="0.2">
      <c r="A999" s="3" t="s">
        <v>31</v>
      </c>
      <c r="B999" s="39">
        <v>926</v>
      </c>
      <c r="C999" s="82"/>
      <c r="M999" s="15"/>
      <c r="N999" s="15"/>
      <c r="O999" s="16"/>
      <c r="P999" s="15"/>
      <c r="Q999" s="15"/>
      <c r="R999" s="1"/>
      <c r="S999" s="1"/>
      <c r="T999" s="1"/>
      <c r="U999" s="1"/>
      <c r="V999" s="1"/>
      <c r="W999" s="5"/>
      <c r="X999" s="1"/>
      <c r="Y999" s="1"/>
      <c r="Z999" s="1"/>
      <c r="AB999" s="5"/>
      <c r="AG999" s="16"/>
      <c r="AK999" s="5"/>
      <c r="AQ999" s="5"/>
      <c r="AS999" s="16"/>
      <c r="AU999" s="5"/>
      <c r="BB999" s="5"/>
      <c r="BC999" s="18"/>
      <c r="BD999" s="5"/>
      <c r="BG999" s="18"/>
      <c r="BH999" s="18"/>
      <c r="BI999" s="16"/>
      <c r="BJ999" s="18"/>
      <c r="BK999" s="18"/>
      <c r="BL999" s="18"/>
      <c r="BM999" s="18"/>
      <c r="BN999" s="16"/>
      <c r="BO999" s="18"/>
      <c r="BP999" s="18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>
        <v>4.8999999999999998E-3</v>
      </c>
      <c r="CF999" s="16">
        <v>1.5100000000000001E-2</v>
      </c>
      <c r="CH999" s="44"/>
    </row>
    <row r="1000" spans="1:86" x14ac:dyDescent="0.2">
      <c r="A1000" s="3" t="s">
        <v>31</v>
      </c>
      <c r="B1000" s="39">
        <v>927</v>
      </c>
      <c r="C1000" s="82"/>
      <c r="M1000" s="15"/>
      <c r="N1000" s="15"/>
      <c r="O1000" s="16"/>
      <c r="P1000" s="15"/>
      <c r="Q1000" s="15"/>
      <c r="R1000" s="1"/>
      <c r="S1000" s="1"/>
      <c r="T1000" s="1"/>
      <c r="U1000" s="1"/>
      <c r="V1000" s="1"/>
      <c r="W1000" s="5"/>
      <c r="X1000" s="1"/>
      <c r="Y1000" s="1"/>
      <c r="Z1000" s="1"/>
      <c r="AB1000" s="5"/>
      <c r="AG1000" s="16"/>
      <c r="AK1000" s="5"/>
      <c r="AQ1000" s="5"/>
      <c r="AS1000" s="16"/>
      <c r="AU1000" s="5"/>
      <c r="BB1000" s="16">
        <v>1E-3</v>
      </c>
      <c r="BC1000" s="18"/>
      <c r="BD1000" s="5"/>
      <c r="BG1000" s="18"/>
      <c r="BI1000" s="16"/>
      <c r="BJ1000" s="18"/>
      <c r="BK1000" s="18"/>
      <c r="BL1000" s="18"/>
      <c r="BM1000" s="18"/>
      <c r="BN1000" s="16"/>
      <c r="BO1000" s="16">
        <v>2E-3</v>
      </c>
      <c r="BP1000" s="18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H1000" s="44"/>
    </row>
    <row r="1001" spans="1:86" x14ac:dyDescent="0.2">
      <c r="A1001" s="3" t="s">
        <v>31</v>
      </c>
      <c r="B1001" s="39">
        <v>927</v>
      </c>
      <c r="C1001" s="82"/>
      <c r="M1001" s="15"/>
      <c r="N1001" s="15"/>
      <c r="O1001" s="16"/>
      <c r="P1001" s="15"/>
      <c r="Q1001" s="15"/>
      <c r="R1001" s="1"/>
      <c r="S1001" s="1"/>
      <c r="T1001" s="1"/>
      <c r="U1001" s="1"/>
      <c r="V1001" s="1"/>
      <c r="W1001" s="5"/>
      <c r="X1001" s="1"/>
      <c r="Y1001" s="1"/>
      <c r="Z1001" s="1"/>
      <c r="AB1001" s="5"/>
      <c r="AG1001" s="16"/>
      <c r="AK1001" s="5"/>
      <c r="AQ1001" s="5"/>
      <c r="AS1001" s="16"/>
      <c r="AU1001" s="5"/>
      <c r="BB1001" s="16">
        <v>0.02</v>
      </c>
      <c r="BC1001" s="18"/>
      <c r="BD1001" s="5"/>
      <c r="BG1001" s="18"/>
      <c r="BI1001" s="16"/>
      <c r="BJ1001" s="18"/>
      <c r="BK1001" s="18"/>
      <c r="BL1001" s="18"/>
      <c r="BM1001" s="18"/>
      <c r="BN1001" s="16"/>
      <c r="BO1001" s="16">
        <v>4.1000000000000002E-2</v>
      </c>
      <c r="BP1001" s="18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H1001" s="44"/>
    </row>
    <row r="1002" spans="1:86" x14ac:dyDescent="0.2">
      <c r="A1002" s="3" t="s">
        <v>31</v>
      </c>
      <c r="B1002" s="39">
        <v>927</v>
      </c>
      <c r="C1002" s="82"/>
      <c r="M1002" s="15"/>
      <c r="N1002" s="15"/>
      <c r="O1002" s="16"/>
      <c r="P1002" s="15"/>
      <c r="Q1002" s="15"/>
      <c r="R1002" s="1"/>
      <c r="S1002" s="1"/>
      <c r="T1002" s="1"/>
      <c r="U1002" s="1"/>
      <c r="V1002" s="1"/>
      <c r="W1002" s="5"/>
      <c r="X1002" s="1"/>
      <c r="Y1002" s="1"/>
      <c r="Z1002" s="1"/>
      <c r="AB1002" s="5"/>
      <c r="AG1002" s="16"/>
      <c r="AK1002" s="5"/>
      <c r="AQ1002" s="5"/>
      <c r="AS1002" s="16"/>
      <c r="AU1002" s="5"/>
      <c r="BB1002" s="16">
        <v>8.9999999999999993E-3</v>
      </c>
      <c r="BC1002" s="18"/>
      <c r="BD1002" s="5"/>
      <c r="BG1002" s="18"/>
      <c r="BI1002" s="16"/>
      <c r="BJ1002" s="18"/>
      <c r="BK1002" s="18"/>
      <c r="BL1002" s="18"/>
      <c r="BM1002" s="18"/>
      <c r="BN1002" s="16"/>
      <c r="BO1002" s="16">
        <v>7.0000000000000001E-3</v>
      </c>
      <c r="BP1002" s="18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H1002" s="44"/>
    </row>
    <row r="1003" spans="1:86" x14ac:dyDescent="0.2">
      <c r="A1003" s="3" t="s">
        <v>31</v>
      </c>
      <c r="B1003" s="39">
        <v>927</v>
      </c>
      <c r="C1003" s="82"/>
      <c r="M1003" s="15"/>
      <c r="N1003" s="15"/>
      <c r="O1003" s="16"/>
      <c r="P1003" s="15"/>
      <c r="Q1003" s="15"/>
      <c r="R1003" s="1"/>
      <c r="S1003" s="1"/>
      <c r="T1003" s="1"/>
      <c r="U1003" s="1"/>
      <c r="V1003" s="1"/>
      <c r="W1003" s="5"/>
      <c r="X1003" s="1"/>
      <c r="Y1003" s="1"/>
      <c r="Z1003" s="1"/>
      <c r="AB1003" s="5"/>
      <c r="AG1003" s="16"/>
      <c r="AK1003" s="5"/>
      <c r="AQ1003" s="5"/>
      <c r="AS1003" s="16"/>
      <c r="AU1003" s="5"/>
      <c r="BB1003" s="16">
        <v>6.3E-2</v>
      </c>
      <c r="BC1003" s="18"/>
      <c r="BD1003" s="5"/>
      <c r="BG1003" s="18"/>
      <c r="BI1003" s="16"/>
      <c r="BJ1003" s="18"/>
      <c r="BK1003" s="18"/>
      <c r="BL1003" s="18"/>
      <c r="BM1003" s="18"/>
      <c r="BN1003" s="16"/>
      <c r="BO1003" s="16">
        <v>0.05</v>
      </c>
      <c r="BP1003" s="18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H1003" s="44"/>
    </row>
    <row r="1004" spans="1:86" x14ac:dyDescent="0.2">
      <c r="A1004" s="3" t="s">
        <v>31</v>
      </c>
      <c r="B1004" s="39">
        <v>928</v>
      </c>
      <c r="C1004" s="82"/>
      <c r="M1004" s="15"/>
      <c r="N1004" s="15"/>
      <c r="O1004" s="16"/>
      <c r="P1004" s="15"/>
      <c r="Q1004" s="15"/>
      <c r="R1004" s="1"/>
      <c r="S1004" s="1"/>
      <c r="T1004" s="1"/>
      <c r="U1004" s="1"/>
      <c r="V1004" s="1"/>
      <c r="W1004" s="5"/>
      <c r="X1004" s="1"/>
      <c r="Y1004" s="1"/>
      <c r="Z1004" s="1"/>
      <c r="AB1004" s="5"/>
      <c r="AG1004" s="16"/>
      <c r="AK1004" s="5"/>
      <c r="AQ1004" s="5"/>
      <c r="AS1004" s="16"/>
      <c r="AU1004" s="5"/>
      <c r="BB1004" s="16"/>
      <c r="BC1004" s="18"/>
      <c r="BD1004" s="5"/>
      <c r="BF1004" s="16">
        <v>3.1E-2</v>
      </c>
      <c r="BG1004" s="18"/>
      <c r="BI1004" s="16"/>
      <c r="BJ1004" s="18"/>
      <c r="BK1004" s="18"/>
      <c r="BL1004" s="18"/>
      <c r="BM1004" s="18"/>
      <c r="BN1004" s="16"/>
      <c r="BO1004" s="16"/>
      <c r="BP1004" s="16">
        <v>7.1999999999999995E-2</v>
      </c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H1004" s="44"/>
    </row>
    <row r="1005" spans="1:86" x14ac:dyDescent="0.2">
      <c r="A1005" s="3" t="s">
        <v>31</v>
      </c>
      <c r="B1005" s="39">
        <v>928</v>
      </c>
      <c r="C1005" s="82"/>
      <c r="M1005" s="15"/>
      <c r="N1005" s="15"/>
      <c r="O1005" s="16"/>
      <c r="P1005" s="15"/>
      <c r="Q1005" s="15"/>
      <c r="R1005" s="1"/>
      <c r="S1005" s="1"/>
      <c r="T1005" s="1"/>
      <c r="U1005" s="1"/>
      <c r="V1005" s="1"/>
      <c r="W1005" s="5"/>
      <c r="X1005" s="1"/>
      <c r="Y1005" s="1"/>
      <c r="Z1005" s="1"/>
      <c r="AB1005" s="5"/>
      <c r="AG1005" s="16"/>
      <c r="AK1005" s="5"/>
      <c r="AQ1005" s="5"/>
      <c r="AS1005" s="16"/>
      <c r="AU1005" s="5"/>
      <c r="BB1005" s="16"/>
      <c r="BC1005" s="18"/>
      <c r="BD1005" s="5"/>
      <c r="BF1005" s="16">
        <v>7.0000000000000001E-3</v>
      </c>
      <c r="BG1005" s="18"/>
      <c r="BI1005" s="16"/>
      <c r="BJ1005" s="18"/>
      <c r="BK1005" s="18"/>
      <c r="BL1005" s="18"/>
      <c r="BM1005" s="18"/>
      <c r="BN1005" s="16"/>
      <c r="BO1005" s="16"/>
      <c r="BP1005" s="16">
        <v>1.4999999999999999E-2</v>
      </c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H1005" s="44"/>
    </row>
    <row r="1006" spans="1:86" x14ac:dyDescent="0.2">
      <c r="A1006" s="3" t="s">
        <v>31</v>
      </c>
      <c r="B1006" s="39">
        <v>928</v>
      </c>
      <c r="C1006" s="82"/>
      <c r="M1006" s="15"/>
      <c r="N1006" s="15"/>
      <c r="O1006" s="16"/>
      <c r="P1006" s="15"/>
      <c r="Q1006" s="15"/>
      <c r="R1006" s="1"/>
      <c r="S1006" s="1"/>
      <c r="T1006" s="1"/>
      <c r="U1006" s="1"/>
      <c r="V1006" s="1"/>
      <c r="W1006" s="5"/>
      <c r="X1006" s="1"/>
      <c r="Y1006" s="1"/>
      <c r="Z1006" s="1"/>
      <c r="AB1006" s="5"/>
      <c r="AG1006" s="16"/>
      <c r="AK1006" s="5"/>
      <c r="AQ1006" s="5"/>
      <c r="AS1006" s="16"/>
      <c r="AU1006" s="5"/>
      <c r="BB1006" s="16"/>
      <c r="BC1006" s="18"/>
      <c r="BD1006" s="5"/>
      <c r="BF1006" s="16">
        <v>1.6E-2</v>
      </c>
      <c r="BG1006" s="18"/>
      <c r="BI1006" s="16"/>
      <c r="BJ1006" s="18"/>
      <c r="BK1006" s="18"/>
      <c r="BL1006" s="18"/>
      <c r="BM1006" s="18"/>
      <c r="BN1006" s="16"/>
      <c r="BO1006" s="16"/>
      <c r="BP1006" s="16">
        <v>4.5999999999999999E-2</v>
      </c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H1006" s="44"/>
    </row>
    <row r="1007" spans="1:86" x14ac:dyDescent="0.2">
      <c r="A1007" s="3" t="s">
        <v>31</v>
      </c>
      <c r="B1007" s="39">
        <v>125</v>
      </c>
      <c r="C1007" s="82"/>
      <c r="M1007" s="15"/>
      <c r="N1007" s="15"/>
      <c r="O1007" s="16"/>
      <c r="P1007" s="15"/>
      <c r="Q1007" s="15"/>
      <c r="R1007" s="1"/>
      <c r="S1007" s="1"/>
      <c r="T1007" s="1"/>
      <c r="U1007" s="1"/>
      <c r="V1007" s="1"/>
      <c r="W1007" s="5"/>
      <c r="X1007" s="1"/>
      <c r="Y1007" s="1"/>
      <c r="Z1007" s="1"/>
      <c r="AB1007" s="5"/>
      <c r="AG1007" s="16"/>
      <c r="AK1007" s="5"/>
      <c r="AQ1007" s="5"/>
      <c r="AS1007" s="16"/>
      <c r="AU1007" s="5"/>
      <c r="BB1007" s="16"/>
      <c r="BC1007" s="18"/>
      <c r="BD1007" s="5"/>
      <c r="BF1007" s="16">
        <v>4.1000000000000002E-2</v>
      </c>
      <c r="BG1007" s="18"/>
      <c r="BI1007" s="16"/>
      <c r="BJ1007" s="18"/>
      <c r="BK1007" s="18"/>
      <c r="BL1007" s="18"/>
      <c r="BM1007" s="18"/>
      <c r="BN1007" s="16"/>
      <c r="BO1007" s="16"/>
      <c r="BP1007" s="16">
        <v>0.109</v>
      </c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H1007" s="44"/>
    </row>
    <row r="1008" spans="1:86" x14ac:dyDescent="0.2">
      <c r="A1008" s="3" t="s">
        <v>31</v>
      </c>
      <c r="B1008" s="39">
        <v>144</v>
      </c>
      <c r="C1008" s="82"/>
      <c r="M1008" s="15"/>
      <c r="N1008" s="15"/>
      <c r="O1008" s="16"/>
      <c r="P1008" s="15"/>
      <c r="Q1008" s="15"/>
      <c r="R1008" s="1"/>
      <c r="S1008" s="1"/>
      <c r="T1008" s="1"/>
      <c r="U1008" s="1"/>
      <c r="V1008" s="1"/>
      <c r="W1008" s="5"/>
      <c r="X1008" s="1"/>
      <c r="Y1008" s="1"/>
      <c r="Z1008" s="1"/>
      <c r="AB1008" s="5"/>
      <c r="AG1008" s="16"/>
      <c r="AK1008" s="5"/>
      <c r="AQ1008" s="5"/>
      <c r="AS1008" s="16"/>
      <c r="AU1008" s="5"/>
      <c r="BB1008" s="16"/>
      <c r="BC1008" s="18"/>
      <c r="BD1008" s="5"/>
      <c r="BF1008" s="16">
        <v>1.7999999999999999E-2</v>
      </c>
      <c r="BG1008" s="18"/>
      <c r="BI1008" s="16"/>
      <c r="BJ1008" s="18"/>
      <c r="BK1008" s="18"/>
      <c r="BL1008" s="18"/>
      <c r="BM1008" s="18"/>
      <c r="BN1008" s="16"/>
      <c r="BO1008" s="16"/>
      <c r="BP1008" s="16">
        <v>2.5999999999999999E-2</v>
      </c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H1008" s="44"/>
    </row>
    <row r="1009" spans="1:86" x14ac:dyDescent="0.2">
      <c r="A1009" s="3" t="s">
        <v>31</v>
      </c>
      <c r="B1009" s="39">
        <v>144</v>
      </c>
      <c r="C1009" s="82"/>
      <c r="M1009" s="15"/>
      <c r="N1009" s="15"/>
      <c r="O1009" s="16"/>
      <c r="P1009" s="15"/>
      <c r="Q1009" s="15"/>
      <c r="R1009" s="1"/>
      <c r="S1009" s="1"/>
      <c r="T1009" s="1"/>
      <c r="U1009" s="1"/>
      <c r="V1009" s="1"/>
      <c r="W1009" s="5"/>
      <c r="X1009" s="1"/>
      <c r="Y1009" s="1"/>
      <c r="Z1009" s="1"/>
      <c r="AB1009" s="5"/>
      <c r="AG1009" s="16"/>
      <c r="AK1009" s="5"/>
      <c r="AQ1009" s="5"/>
      <c r="AS1009" s="16"/>
      <c r="AU1009" s="5"/>
      <c r="BB1009" s="16"/>
      <c r="BC1009" s="18"/>
      <c r="BD1009" s="5"/>
      <c r="BF1009" s="16">
        <v>4.9000000000000002E-2</v>
      </c>
      <c r="BG1009" s="18"/>
      <c r="BI1009" s="16"/>
      <c r="BJ1009" s="18"/>
      <c r="BK1009" s="18"/>
      <c r="BL1009" s="18"/>
      <c r="BM1009" s="18"/>
      <c r="BN1009" s="16"/>
      <c r="BO1009" s="16"/>
      <c r="BP1009" s="16">
        <v>7.6999999999999999E-2</v>
      </c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H1009" s="44"/>
    </row>
    <row r="1010" spans="1:86" x14ac:dyDescent="0.2">
      <c r="A1010" s="3" t="s">
        <v>31</v>
      </c>
      <c r="B1010" s="39">
        <v>144</v>
      </c>
      <c r="C1010" s="82"/>
      <c r="M1010" s="15"/>
      <c r="N1010" s="15"/>
      <c r="O1010" s="16"/>
      <c r="P1010" s="15"/>
      <c r="Q1010" s="15"/>
      <c r="R1010" s="1"/>
      <c r="S1010" s="1"/>
      <c r="T1010" s="1"/>
      <c r="U1010" s="1"/>
      <c r="V1010" s="1"/>
      <c r="W1010" s="5"/>
      <c r="X1010" s="1"/>
      <c r="Y1010" s="1"/>
      <c r="Z1010" s="1"/>
      <c r="AB1010" s="5"/>
      <c r="AG1010" s="16"/>
      <c r="AK1010" s="5"/>
      <c r="AQ1010" s="5"/>
      <c r="AS1010" s="16"/>
      <c r="AU1010" s="5"/>
      <c r="BB1010" s="16"/>
      <c r="BC1010" s="18"/>
      <c r="BD1010" s="5"/>
      <c r="BF1010" s="16">
        <v>4.0000000000000001E-3</v>
      </c>
      <c r="BG1010" s="18"/>
      <c r="BI1010" s="16"/>
      <c r="BJ1010" s="18"/>
      <c r="BK1010" s="18"/>
      <c r="BL1010" s="18"/>
      <c r="BM1010" s="18"/>
      <c r="BN1010" s="16"/>
      <c r="BO1010" s="16"/>
      <c r="BP1010" s="16">
        <v>1.2999999999999999E-2</v>
      </c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H1010" s="44"/>
    </row>
    <row r="1011" spans="1:86" x14ac:dyDescent="0.2">
      <c r="A1011" s="3" t="s">
        <v>31</v>
      </c>
      <c r="B1011" s="39">
        <v>144</v>
      </c>
      <c r="C1011" s="82"/>
      <c r="M1011" s="15"/>
      <c r="N1011" s="15"/>
      <c r="O1011" s="16"/>
      <c r="P1011" s="15"/>
      <c r="Q1011" s="15"/>
      <c r="R1011" s="1"/>
      <c r="S1011" s="1"/>
      <c r="T1011" s="1"/>
      <c r="U1011" s="1"/>
      <c r="V1011" s="1"/>
      <c r="W1011" s="5"/>
      <c r="X1011" s="1"/>
      <c r="Y1011" s="1"/>
      <c r="Z1011" s="1"/>
      <c r="AB1011" s="5"/>
      <c r="AG1011" s="16"/>
      <c r="AK1011" s="5"/>
      <c r="AQ1011" s="5"/>
      <c r="AS1011" s="16"/>
      <c r="AU1011" s="5"/>
      <c r="BB1011" s="16"/>
      <c r="BC1011" s="18"/>
      <c r="BD1011" s="5"/>
      <c r="BF1011" s="16">
        <v>5.7000000000000002E-2</v>
      </c>
      <c r="BG1011" s="18"/>
      <c r="BI1011" s="16"/>
      <c r="BJ1011" s="18"/>
      <c r="BK1011" s="18"/>
      <c r="BL1011" s="18"/>
      <c r="BM1011" s="18"/>
      <c r="BN1011" s="16"/>
      <c r="BO1011" s="16"/>
      <c r="BP1011" s="16">
        <v>8.5000000000000006E-2</v>
      </c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6"/>
      <c r="CH1011" s="44"/>
    </row>
    <row r="1012" spans="1:86" x14ac:dyDescent="0.2">
      <c r="A1012" s="3" t="s">
        <v>31</v>
      </c>
      <c r="B1012" s="39">
        <v>929</v>
      </c>
      <c r="C1012" s="82"/>
      <c r="M1012" s="15"/>
      <c r="N1012" s="15"/>
      <c r="O1012" s="16"/>
      <c r="P1012" s="15"/>
      <c r="Q1012" s="15"/>
      <c r="R1012" s="1"/>
      <c r="S1012" s="1"/>
      <c r="T1012" s="1"/>
      <c r="U1012" s="1"/>
      <c r="V1012" s="1"/>
      <c r="W1012" s="5"/>
      <c r="X1012" s="1"/>
      <c r="Y1012" s="1"/>
      <c r="Z1012" s="1"/>
      <c r="AB1012" s="5"/>
      <c r="AG1012" s="16"/>
      <c r="AK1012" s="5"/>
      <c r="AQ1012" s="5"/>
      <c r="AS1012" s="16"/>
      <c r="AU1012" s="5"/>
      <c r="AZ1012" s="16"/>
      <c r="BC1012" s="18"/>
      <c r="BD1012" s="5"/>
      <c r="BF1012" s="16"/>
      <c r="BG1012" s="18"/>
      <c r="BI1012" s="16"/>
      <c r="BJ1012" s="16">
        <v>9.1000000000000004E-3</v>
      </c>
      <c r="BL1012" s="18"/>
      <c r="BM1012" s="18"/>
      <c r="BN1012" s="16"/>
      <c r="BO1012" s="16"/>
      <c r="BP1012" s="16"/>
      <c r="BQ1012" s="16"/>
      <c r="BR1012" s="16"/>
      <c r="BS1012" s="16"/>
      <c r="BT1012" s="16">
        <v>1.17E-2</v>
      </c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6"/>
      <c r="CH1012" s="44"/>
    </row>
    <row r="1013" spans="1:86" x14ac:dyDescent="0.2">
      <c r="A1013" s="3" t="s">
        <v>31</v>
      </c>
      <c r="B1013" s="39">
        <v>929</v>
      </c>
      <c r="C1013" s="82"/>
      <c r="M1013" s="15"/>
      <c r="N1013" s="15"/>
      <c r="O1013" s="16"/>
      <c r="P1013" s="15"/>
      <c r="Q1013" s="15"/>
      <c r="R1013" s="1"/>
      <c r="S1013" s="1"/>
      <c r="T1013" s="1"/>
      <c r="U1013" s="1"/>
      <c r="V1013" s="1"/>
      <c r="W1013" s="5"/>
      <c r="X1013" s="1"/>
      <c r="Y1013" s="1"/>
      <c r="Z1013" s="1"/>
      <c r="AB1013" s="5"/>
      <c r="AG1013" s="16"/>
      <c r="AK1013" s="5"/>
      <c r="AQ1013" s="5"/>
      <c r="AS1013" s="16"/>
      <c r="AU1013" s="5"/>
      <c r="AZ1013" s="16">
        <v>2.9999999999999997E-4</v>
      </c>
      <c r="BC1013" s="18"/>
      <c r="BD1013" s="5"/>
      <c r="BF1013" s="16"/>
      <c r="BG1013" s="18"/>
      <c r="BI1013" s="16"/>
      <c r="BJ1013" s="16">
        <v>8.9999999999999998E-4</v>
      </c>
      <c r="BL1013" s="18"/>
      <c r="BM1013" s="18"/>
      <c r="BN1013" s="16"/>
      <c r="BO1013" s="16"/>
      <c r="BP1013" s="16"/>
      <c r="BQ1013" s="16"/>
      <c r="BR1013" s="16"/>
      <c r="BS1013" s="16"/>
      <c r="BT1013" s="16">
        <v>4.4999999999999997E-3</v>
      </c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H1013" s="44"/>
    </row>
    <row r="1014" spans="1:86" x14ac:dyDescent="0.2">
      <c r="A1014" s="3" t="s">
        <v>31</v>
      </c>
      <c r="B1014" s="39">
        <v>930</v>
      </c>
      <c r="C1014" s="82"/>
      <c r="M1014" s="15"/>
      <c r="N1014" s="15"/>
      <c r="O1014" s="16"/>
      <c r="P1014" s="15"/>
      <c r="Q1014" s="15"/>
      <c r="R1014" s="1"/>
      <c r="S1014" s="1"/>
      <c r="T1014" s="1"/>
      <c r="U1014" s="1"/>
      <c r="V1014" s="1"/>
      <c r="W1014" s="5"/>
      <c r="X1014" s="1"/>
      <c r="Y1014" s="1"/>
      <c r="Z1014" s="1"/>
      <c r="AB1014" s="5"/>
      <c r="AG1014" s="16"/>
      <c r="AK1014" s="5"/>
      <c r="AQ1014" s="5"/>
      <c r="AS1014" s="16"/>
      <c r="AU1014" s="5"/>
      <c r="AZ1014" s="16"/>
      <c r="BC1014" s="18"/>
      <c r="BD1014" s="5"/>
      <c r="BF1014" s="16"/>
      <c r="BG1014" s="18"/>
      <c r="BI1014" s="16"/>
      <c r="BJ1014" s="16"/>
      <c r="BL1014" s="18"/>
      <c r="BM1014" s="18"/>
      <c r="BN1014" s="16"/>
      <c r="BO1014" s="16"/>
      <c r="BP1014" s="16"/>
      <c r="BQ1014" s="16"/>
      <c r="BR1014" s="16"/>
      <c r="BS1014" s="16"/>
      <c r="BT1014" s="16"/>
      <c r="BU1014" s="16"/>
      <c r="BV1014" s="16"/>
      <c r="BW1014" s="16"/>
      <c r="BX1014" s="16">
        <v>2.3E-2</v>
      </c>
      <c r="BY1014" s="16">
        <v>2.5000000000000001E-2</v>
      </c>
      <c r="BZ1014" s="16">
        <v>2.7E-2</v>
      </c>
      <c r="CA1014" s="16">
        <v>3.2000000000000001E-2</v>
      </c>
      <c r="CB1014" s="16">
        <v>2.9000000000000001E-2</v>
      </c>
      <c r="CC1014" s="16"/>
      <c r="CD1014" s="16"/>
      <c r="CE1014" s="16"/>
      <c r="CF1014" s="16"/>
      <c r="CH1014" s="44"/>
    </row>
    <row r="1015" spans="1:86" x14ac:dyDescent="0.2">
      <c r="A1015" s="3" t="s">
        <v>31</v>
      </c>
      <c r="B1015" s="39">
        <v>931</v>
      </c>
      <c r="C1015" s="82"/>
      <c r="M1015" s="15"/>
      <c r="N1015" s="15"/>
      <c r="O1015" s="16"/>
      <c r="P1015" s="15"/>
      <c r="Q1015" s="15"/>
      <c r="R1015" s="1"/>
      <c r="S1015" s="1"/>
      <c r="T1015" s="1"/>
      <c r="U1015" s="1"/>
      <c r="V1015" s="1"/>
      <c r="W1015" s="5"/>
      <c r="X1015" s="1"/>
      <c r="Y1015" s="1"/>
      <c r="Z1015" s="1"/>
      <c r="AB1015" s="5"/>
      <c r="AG1015" s="16"/>
      <c r="AK1015" s="5"/>
      <c r="AQ1015" s="5"/>
      <c r="AS1015" s="16"/>
      <c r="AU1015" s="5"/>
      <c r="AZ1015" s="16"/>
      <c r="BC1015" s="18"/>
      <c r="BD1015" s="5"/>
      <c r="BF1015" s="16"/>
      <c r="BG1015" s="18"/>
      <c r="BI1015" s="16">
        <v>2.7E-2</v>
      </c>
      <c r="BJ1015" s="16"/>
      <c r="BL1015" s="18"/>
      <c r="BM1015" s="18"/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>
        <v>0.13</v>
      </c>
      <c r="CA1015" s="16"/>
      <c r="CB1015" s="16"/>
      <c r="CC1015" s="16"/>
      <c r="CD1015" s="16"/>
      <c r="CE1015" s="16"/>
      <c r="CF1015" s="16"/>
      <c r="CH1015" s="44"/>
    </row>
    <row r="1016" spans="1:86" x14ac:dyDescent="0.2">
      <c r="A1016" s="3" t="s">
        <v>31</v>
      </c>
      <c r="B1016" s="39">
        <v>932</v>
      </c>
      <c r="C1016" s="82"/>
      <c r="M1016" s="15"/>
      <c r="N1016" s="15"/>
      <c r="O1016" s="16"/>
      <c r="P1016" s="15"/>
      <c r="Q1016" s="15"/>
      <c r="R1016" s="1"/>
      <c r="S1016" s="1"/>
      <c r="T1016" s="1"/>
      <c r="U1016" s="1"/>
      <c r="V1016" s="1"/>
      <c r="W1016" s="5"/>
      <c r="X1016" s="1"/>
      <c r="Y1016" s="1"/>
      <c r="Z1016" s="1"/>
      <c r="AB1016" s="5"/>
      <c r="AG1016" s="16"/>
      <c r="AK1016" s="5"/>
      <c r="AQ1016" s="5"/>
      <c r="AS1016" s="16"/>
      <c r="AU1016" s="5"/>
      <c r="AZ1016" s="16">
        <v>1E-4</v>
      </c>
      <c r="BD1016" s="5"/>
      <c r="BF1016" s="16"/>
      <c r="BG1016" s="18"/>
      <c r="BI1016" s="16"/>
      <c r="BJ1016" s="16">
        <v>5.9999999999999995E-4</v>
      </c>
      <c r="BM1016" s="18"/>
      <c r="BN1016" s="16"/>
      <c r="BO1016" s="16"/>
      <c r="BP1016" s="16"/>
      <c r="BQ1016" s="16"/>
      <c r="BR1016" s="16"/>
      <c r="BS1016" s="16"/>
      <c r="BT1016" s="16">
        <v>1.2999999999999999E-3</v>
      </c>
      <c r="BV1016" s="16"/>
      <c r="BW1016" s="16"/>
      <c r="BX1016" s="16"/>
      <c r="BY1016" s="16"/>
      <c r="BZ1016" s="16"/>
      <c r="CA1016" s="16"/>
      <c r="CB1016" s="16">
        <v>4.1999999999999997E-3</v>
      </c>
      <c r="CC1016" s="16"/>
      <c r="CD1016" s="16"/>
      <c r="CE1016" s="16"/>
      <c r="CF1016" s="16"/>
      <c r="CH1016" s="44"/>
    </row>
    <row r="1017" spans="1:86" x14ac:dyDescent="0.2">
      <c r="A1017" s="3" t="s">
        <v>31</v>
      </c>
      <c r="B1017" s="39">
        <v>932</v>
      </c>
      <c r="C1017" s="82"/>
      <c r="M1017" s="15"/>
      <c r="N1017" s="15"/>
      <c r="O1017" s="16"/>
      <c r="P1017" s="15"/>
      <c r="Q1017" s="15"/>
      <c r="R1017" s="1"/>
      <c r="S1017" s="1"/>
      <c r="T1017" s="1"/>
      <c r="U1017" s="1"/>
      <c r="V1017" s="1"/>
      <c r="W1017" s="5"/>
      <c r="X1017" s="1"/>
      <c r="Y1017" s="1"/>
      <c r="Z1017" s="1"/>
      <c r="AB1017" s="5"/>
      <c r="AG1017" s="16"/>
      <c r="AK1017" s="5"/>
      <c r="AQ1017" s="5"/>
      <c r="AS1017" s="16"/>
      <c r="AU1017" s="5"/>
      <c r="BD1017" s="5"/>
      <c r="BF1017" s="16"/>
      <c r="BG1017" s="18"/>
      <c r="BI1017" s="16"/>
      <c r="BJ1017" s="16">
        <v>5.3E-3</v>
      </c>
      <c r="BM1017" s="18"/>
      <c r="BN1017" s="16"/>
      <c r="BO1017" s="16"/>
      <c r="BP1017" s="16"/>
      <c r="BQ1017" s="16"/>
      <c r="BR1017" s="16"/>
      <c r="BS1017" s="16"/>
      <c r="BT1017" s="16">
        <v>4.1000000000000003E-3</v>
      </c>
      <c r="BV1017" s="16"/>
      <c r="BW1017" s="16"/>
      <c r="BX1017" s="16"/>
      <c r="BY1017" s="16"/>
      <c r="BZ1017" s="16"/>
      <c r="CA1017" s="16"/>
      <c r="CB1017" s="16">
        <v>1.0800000000000001E-2</v>
      </c>
      <c r="CC1017" s="16"/>
      <c r="CD1017" s="16"/>
      <c r="CE1017" s="16"/>
      <c r="CF1017" s="16"/>
      <c r="CH1017" s="44"/>
    </row>
    <row r="1018" spans="1:86" s="46" customFormat="1" x14ac:dyDescent="0.2">
      <c r="A1018" s="38" t="s">
        <v>31</v>
      </c>
      <c r="B1018" s="40">
        <v>932</v>
      </c>
      <c r="C1018" s="83"/>
      <c r="M1018" s="67"/>
      <c r="N1018" s="67"/>
      <c r="O1018" s="63"/>
      <c r="P1018" s="67"/>
      <c r="Q1018" s="67"/>
      <c r="R1018" s="53"/>
      <c r="S1018" s="53"/>
      <c r="T1018" s="53"/>
      <c r="U1018" s="53"/>
      <c r="V1018" s="53"/>
      <c r="W1018" s="48"/>
      <c r="X1018" s="53"/>
      <c r="Y1018" s="53"/>
      <c r="Z1018" s="53"/>
      <c r="AB1018" s="48"/>
      <c r="AG1018" s="63"/>
      <c r="AK1018" s="48"/>
      <c r="AQ1018" s="48"/>
      <c r="AS1018" s="63"/>
      <c r="AU1018" s="48"/>
      <c r="AZ1018" s="63"/>
      <c r="BD1018" s="48"/>
      <c r="BF1018" s="63"/>
      <c r="BG1018" s="68"/>
      <c r="BI1018" s="63"/>
      <c r="BJ1018" s="63"/>
      <c r="BM1018" s="68"/>
      <c r="BN1018" s="63"/>
      <c r="BO1018" s="63"/>
      <c r="BP1018" s="63"/>
      <c r="BQ1018" s="63"/>
      <c r="BR1018" s="63"/>
      <c r="BS1018" s="63"/>
      <c r="BT1018" s="63">
        <v>1.5800000000000002E-2</v>
      </c>
      <c r="BV1018" s="63"/>
      <c r="BW1018" s="63"/>
      <c r="BX1018" s="63"/>
      <c r="BY1018" s="63"/>
      <c r="BZ1018" s="63"/>
      <c r="CA1018" s="63"/>
      <c r="CB1018" s="63">
        <v>1.4800000000000001E-2</v>
      </c>
      <c r="CC1018" s="63"/>
      <c r="CD1018" s="63"/>
      <c r="CE1018" s="63"/>
      <c r="CF1018" s="63"/>
      <c r="CH1018" s="51"/>
    </row>
    <row r="1019" spans="1:86" x14ac:dyDescent="0.2">
      <c r="A1019" s="3" t="s">
        <v>32</v>
      </c>
      <c r="B1019" s="39">
        <v>933</v>
      </c>
      <c r="C1019" s="82"/>
      <c r="D1019" s="16">
        <v>1.4999999999999999E-2</v>
      </c>
      <c r="E1019" s="15"/>
      <c r="F1019" s="15"/>
      <c r="G1019" s="15"/>
      <c r="H1019" s="15"/>
      <c r="I1019" s="16">
        <v>0.02</v>
      </c>
      <c r="J1019" s="15"/>
      <c r="K1019" s="15"/>
      <c r="L1019" s="15"/>
      <c r="M1019" s="15"/>
      <c r="N1019" s="16">
        <v>0.03</v>
      </c>
      <c r="O1019" s="16"/>
      <c r="P1019" s="15"/>
      <c r="Q1019" s="15"/>
      <c r="R1019" s="15"/>
      <c r="S1019" s="16">
        <v>0.04</v>
      </c>
      <c r="T1019" s="16"/>
      <c r="U1019" s="16"/>
      <c r="V1019" s="16"/>
      <c r="W1019" s="16"/>
      <c r="X1019" s="16">
        <v>0.05</v>
      </c>
      <c r="Y1019" s="16"/>
      <c r="Z1019" s="16"/>
      <c r="AA1019" s="16"/>
      <c r="AB1019" s="16"/>
      <c r="AC1019" s="16">
        <v>5.8999999999999997E-2</v>
      </c>
      <c r="AD1019" s="16"/>
      <c r="AE1019" s="16"/>
      <c r="AF1019" s="16"/>
      <c r="AG1019" s="16"/>
      <c r="AH1019" s="16">
        <v>0.06</v>
      </c>
      <c r="AL1019" s="16"/>
      <c r="AM1019" s="16">
        <v>0.1</v>
      </c>
      <c r="AN1019" s="16"/>
      <c r="AO1019" s="16"/>
      <c r="AP1019" s="16"/>
      <c r="AQ1019" s="16"/>
      <c r="AR1019" s="16">
        <v>0.15</v>
      </c>
      <c r="AS1019" s="17"/>
      <c r="AT1019" s="16"/>
      <c r="AU1019" s="5"/>
      <c r="AW1019" s="16">
        <v>0.16</v>
      </c>
      <c r="BA1019" s="16"/>
      <c r="BB1019" s="16">
        <v>0.17</v>
      </c>
      <c r="BC1019" s="19"/>
      <c r="BD1019" s="18"/>
      <c r="BF1019" s="16"/>
      <c r="BG1019" s="16">
        <v>0.17499999999999999</v>
      </c>
      <c r="BK1019" s="16"/>
      <c r="BL1019" s="16">
        <v>0.17799999999999999</v>
      </c>
      <c r="BO1019" s="16"/>
      <c r="BP1019"/>
      <c r="BQ1019" s="16">
        <v>0.18</v>
      </c>
      <c r="BR1019"/>
      <c r="BS1019"/>
      <c r="BU1019" s="5"/>
      <c r="CH1019" s="44"/>
    </row>
    <row r="1020" spans="1:86" x14ac:dyDescent="0.2">
      <c r="A1020" s="3" t="s">
        <v>32</v>
      </c>
      <c r="B1020" s="39">
        <v>934</v>
      </c>
      <c r="C1020" s="16">
        <v>0.1</v>
      </c>
      <c r="E1020" s="15"/>
      <c r="F1020" s="15"/>
      <c r="G1020" s="15"/>
      <c r="H1020" s="15"/>
      <c r="I1020" s="16"/>
      <c r="J1020" s="15"/>
      <c r="K1020" s="15"/>
      <c r="L1020" s="15"/>
      <c r="M1020" s="15"/>
      <c r="N1020" s="16"/>
      <c r="O1020" s="16"/>
      <c r="P1020" s="15"/>
      <c r="Q1020" s="15"/>
      <c r="R1020" s="15"/>
      <c r="S1020" s="16"/>
      <c r="T1020" s="16"/>
      <c r="U1020" s="16"/>
      <c r="V1020" s="16"/>
      <c r="W1020" s="16">
        <v>0.12</v>
      </c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L1020" s="16">
        <v>0.12</v>
      </c>
      <c r="AM1020" s="16"/>
      <c r="AN1020" s="16"/>
      <c r="AO1020" s="16"/>
      <c r="AP1020" s="16"/>
      <c r="AQ1020" s="16"/>
      <c r="AR1020" s="16"/>
      <c r="AS1020" s="17"/>
      <c r="AT1020" s="16"/>
      <c r="AU1020" s="5"/>
      <c r="AW1020" s="16"/>
      <c r="BA1020" s="16"/>
      <c r="BB1020" s="16"/>
      <c r="BC1020" s="19"/>
      <c r="BD1020" s="18"/>
      <c r="BF1020" s="16"/>
      <c r="BG1020" s="16"/>
      <c r="BK1020" s="16"/>
      <c r="BL1020" s="16"/>
      <c r="BO1020" s="16"/>
      <c r="BP1020"/>
      <c r="BQ1020" s="16"/>
      <c r="BR1020"/>
      <c r="BS1020"/>
      <c r="BU1020" s="5"/>
      <c r="CH1020" s="44"/>
    </row>
    <row r="1021" spans="1:86" x14ac:dyDescent="0.2">
      <c r="A1021" s="3" t="s">
        <v>32</v>
      </c>
      <c r="B1021" s="39">
        <v>935</v>
      </c>
      <c r="C1021" s="82"/>
      <c r="E1021" s="15"/>
      <c r="F1021" s="15"/>
      <c r="G1021" s="15"/>
      <c r="H1021" s="15"/>
      <c r="I1021" s="16"/>
      <c r="J1021" s="15"/>
      <c r="K1021" s="16">
        <v>7.2999999999999995E-2</v>
      </c>
      <c r="L1021" s="15"/>
      <c r="M1021" s="15"/>
      <c r="N1021" s="16"/>
      <c r="O1021" s="16"/>
      <c r="P1021" s="15"/>
      <c r="Q1021" s="15"/>
      <c r="R1021" s="15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L1021" s="16"/>
      <c r="AM1021" s="16"/>
      <c r="AN1021" s="16"/>
      <c r="AO1021" s="16">
        <v>9.5000000000000001E-2</v>
      </c>
      <c r="AP1021" s="16"/>
      <c r="AQ1021" s="16"/>
      <c r="AR1021" s="16"/>
      <c r="AS1021" s="17"/>
      <c r="AT1021" s="16"/>
      <c r="AU1021" s="5"/>
      <c r="AW1021" s="16"/>
      <c r="BA1021" s="16"/>
      <c r="BB1021" s="16"/>
      <c r="BC1021" s="19"/>
      <c r="BD1021" s="18"/>
      <c r="BF1021" s="16"/>
      <c r="BG1021" s="16"/>
      <c r="BK1021" s="16"/>
      <c r="BL1021" s="16"/>
      <c r="BO1021" s="16"/>
      <c r="BP1021"/>
      <c r="BQ1021" s="16"/>
      <c r="BR1021"/>
      <c r="BS1021"/>
      <c r="BU1021" s="5"/>
      <c r="CH1021" s="44"/>
    </row>
    <row r="1022" spans="1:86" x14ac:dyDescent="0.2">
      <c r="A1022" s="3" t="s">
        <v>32</v>
      </c>
      <c r="B1022" s="39">
        <v>935</v>
      </c>
      <c r="C1022" s="82"/>
      <c r="E1022" s="15"/>
      <c r="F1022" s="15"/>
      <c r="G1022" s="15"/>
      <c r="H1022" s="15"/>
      <c r="I1022" s="16"/>
      <c r="J1022" s="15"/>
      <c r="K1022" s="16">
        <v>9.5000000000000001E-2</v>
      </c>
      <c r="L1022" s="15"/>
      <c r="M1022" s="15"/>
      <c r="N1022" s="16"/>
      <c r="O1022" s="16"/>
      <c r="P1022" s="15"/>
      <c r="Q1022" s="15"/>
      <c r="R1022" s="15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L1022" s="16"/>
      <c r="AM1022" s="16"/>
      <c r="AN1022" s="16"/>
      <c r="AO1022" s="16">
        <v>0.12</v>
      </c>
      <c r="AP1022" s="16"/>
      <c r="AQ1022" s="16"/>
      <c r="AR1022" s="16"/>
      <c r="AS1022" s="17"/>
      <c r="AT1022" s="16"/>
      <c r="AU1022" s="5"/>
      <c r="AW1022" s="16"/>
      <c r="BA1022" s="16"/>
      <c r="BB1022" s="16"/>
      <c r="BC1022" s="19"/>
      <c r="BD1022" s="18"/>
      <c r="BF1022" s="16"/>
      <c r="BG1022" s="16"/>
      <c r="BK1022" s="16"/>
      <c r="BL1022" s="16"/>
      <c r="BO1022" s="16"/>
      <c r="BP1022"/>
      <c r="BQ1022" s="16"/>
      <c r="BR1022"/>
      <c r="BS1022"/>
      <c r="BU1022" s="5"/>
      <c r="CH1022" s="44"/>
    </row>
    <row r="1023" spans="1:86" x14ac:dyDescent="0.2">
      <c r="A1023" s="3" t="s">
        <v>32</v>
      </c>
      <c r="B1023" s="39">
        <v>936</v>
      </c>
      <c r="C1023" s="82"/>
      <c r="E1023" s="15"/>
      <c r="F1023" s="15"/>
      <c r="G1023" s="15"/>
      <c r="H1023" s="15"/>
      <c r="I1023" s="16"/>
      <c r="J1023" s="15"/>
      <c r="K1023" s="16"/>
      <c r="L1023" s="15"/>
      <c r="M1023" s="15"/>
      <c r="N1023" s="16"/>
      <c r="O1023" s="16"/>
      <c r="P1023" s="15"/>
      <c r="Q1023" s="15"/>
      <c r="R1023" s="15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L1023" s="16"/>
      <c r="AM1023" s="16"/>
      <c r="AN1023" s="16"/>
      <c r="AO1023" s="16"/>
      <c r="AP1023" s="16">
        <v>0.129</v>
      </c>
      <c r="AQ1023" s="16"/>
      <c r="AR1023" s="16"/>
      <c r="AS1023" s="17"/>
      <c r="AT1023" s="16"/>
      <c r="AU1023" s="5"/>
      <c r="AW1023" s="16"/>
      <c r="BA1023" s="16">
        <v>0.123</v>
      </c>
      <c r="BB1023" s="16"/>
      <c r="BC1023" s="19"/>
      <c r="BD1023" s="18"/>
      <c r="BF1023" s="16"/>
      <c r="BG1023" s="16"/>
      <c r="BK1023" s="16"/>
      <c r="BL1023" s="16"/>
      <c r="BO1023" s="16"/>
      <c r="BP1023"/>
      <c r="BQ1023" s="16"/>
      <c r="BR1023"/>
      <c r="BS1023"/>
      <c r="BU1023" s="5"/>
      <c r="CH1023" s="44"/>
    </row>
    <row r="1024" spans="1:86" s="46" customFormat="1" x14ac:dyDescent="0.2">
      <c r="A1024" s="38" t="s">
        <v>32</v>
      </c>
      <c r="B1024" s="40">
        <v>936</v>
      </c>
      <c r="C1024" s="83"/>
      <c r="E1024" s="67"/>
      <c r="F1024" s="67"/>
      <c r="G1024" s="67"/>
      <c r="H1024" s="67"/>
      <c r="I1024" s="63"/>
      <c r="J1024" s="67"/>
      <c r="K1024" s="63"/>
      <c r="L1024" s="67"/>
      <c r="M1024" s="67"/>
      <c r="N1024" s="63"/>
      <c r="O1024" s="63"/>
      <c r="P1024" s="67"/>
      <c r="Q1024" s="67"/>
      <c r="R1024" s="67"/>
      <c r="S1024" s="63"/>
      <c r="T1024" s="63"/>
      <c r="U1024" s="63"/>
      <c r="V1024" s="63"/>
      <c r="W1024" s="63"/>
      <c r="X1024" s="63"/>
      <c r="Y1024" s="63"/>
      <c r="Z1024" s="63"/>
      <c r="AA1024" s="63"/>
      <c r="AB1024" s="63"/>
      <c r="AC1024" s="63"/>
      <c r="AD1024" s="63"/>
      <c r="AE1024" s="63"/>
      <c r="AF1024" s="63"/>
      <c r="AG1024" s="63"/>
      <c r="AH1024" s="63"/>
      <c r="AL1024" s="63"/>
      <c r="AM1024" s="63"/>
      <c r="AN1024" s="63"/>
      <c r="AO1024" s="63"/>
      <c r="AP1024" s="63">
        <v>9.7000000000000003E-2</v>
      </c>
      <c r="AQ1024" s="63"/>
      <c r="AR1024" s="63"/>
      <c r="AS1024" s="70"/>
      <c r="AT1024" s="63"/>
      <c r="AU1024" s="48"/>
      <c r="AW1024" s="63"/>
      <c r="BA1024" s="63">
        <v>0.107</v>
      </c>
      <c r="BB1024" s="63"/>
      <c r="BC1024" s="71"/>
      <c r="BD1024" s="68"/>
      <c r="BF1024" s="63"/>
      <c r="BG1024" s="63"/>
      <c r="BK1024" s="63"/>
      <c r="BL1024" s="63"/>
      <c r="BO1024" s="63"/>
      <c r="BQ1024" s="63"/>
      <c r="BU1024" s="48"/>
      <c r="CH1024" s="51"/>
    </row>
    <row r="1025" spans="1:86" x14ac:dyDescent="0.2">
      <c r="A1025" s="3" t="s">
        <v>33</v>
      </c>
      <c r="B1025" s="39">
        <v>937</v>
      </c>
      <c r="C1025" s="82"/>
      <c r="M1025" s="15"/>
      <c r="N1025" s="15"/>
      <c r="O1025" s="16"/>
      <c r="P1025" s="15"/>
      <c r="Q1025" s="15"/>
      <c r="R1025" s="15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L1025" s="16"/>
      <c r="AM1025" s="16"/>
      <c r="AN1025" s="16"/>
      <c r="AO1025" s="16"/>
      <c r="AP1025" s="16"/>
      <c r="AQ1025" s="16"/>
      <c r="AS1025" s="17"/>
      <c r="AT1025" s="16"/>
      <c r="AU1025" s="5"/>
      <c r="AW1025" s="18"/>
      <c r="BA1025" s="16">
        <v>0.05</v>
      </c>
      <c r="BB1025" s="16"/>
      <c r="BC1025" s="19"/>
      <c r="BD1025" s="18"/>
      <c r="BF1025" s="16"/>
      <c r="BK1025" s="16">
        <v>8.5000000000000006E-2</v>
      </c>
      <c r="BM1025" s="19"/>
      <c r="BO1025" s="16"/>
      <c r="BP1025"/>
      <c r="BQ1025" s="20"/>
      <c r="BR1025"/>
      <c r="BS1025"/>
      <c r="BU1025" s="5"/>
      <c r="CH1025" s="44"/>
    </row>
    <row r="1026" spans="1:86" x14ac:dyDescent="0.2">
      <c r="A1026" s="3" t="s">
        <v>33</v>
      </c>
      <c r="B1026" s="39">
        <v>938</v>
      </c>
      <c r="C1026" s="82"/>
      <c r="M1026" s="15"/>
      <c r="N1026" s="15"/>
      <c r="O1026" s="16"/>
      <c r="P1026" s="15"/>
      <c r="Q1026" s="15"/>
      <c r="R1026" s="15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L1026" s="16"/>
      <c r="AM1026" s="16"/>
      <c r="AN1026" s="16"/>
      <c r="AO1026" s="16"/>
      <c r="AP1026" s="16"/>
      <c r="AQ1026" s="16"/>
      <c r="AS1026" s="17"/>
      <c r="AT1026" s="16"/>
      <c r="AU1026" s="5"/>
      <c r="AW1026" s="18"/>
      <c r="AY1026" s="16"/>
      <c r="AZ1026" s="16"/>
      <c r="BA1026" s="16">
        <v>0.06</v>
      </c>
      <c r="BB1026" s="16"/>
      <c r="BD1026" s="16"/>
      <c r="BE1026" s="16"/>
      <c r="BG1026" s="16"/>
      <c r="BI1026" s="16"/>
      <c r="BK1026" s="16">
        <v>8.4000000000000005E-2</v>
      </c>
      <c r="BM1026" s="19"/>
      <c r="BO1026" s="16"/>
      <c r="BP1026"/>
      <c r="BQ1026" s="20"/>
      <c r="BR1026"/>
      <c r="BS1026"/>
      <c r="BU1026" s="5"/>
      <c r="CH1026" s="44"/>
    </row>
    <row r="1027" spans="1:86" x14ac:dyDescent="0.2">
      <c r="A1027" s="3" t="s">
        <v>33</v>
      </c>
      <c r="B1027" s="39">
        <v>938</v>
      </c>
      <c r="C1027" s="82"/>
      <c r="M1027" s="15"/>
      <c r="N1027" s="15"/>
      <c r="O1027" s="16"/>
      <c r="P1027" s="15"/>
      <c r="Q1027" s="15"/>
      <c r="R1027" s="15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L1027" s="16"/>
      <c r="AM1027" s="16"/>
      <c r="AN1027" s="16"/>
      <c r="AO1027" s="16"/>
      <c r="AP1027" s="16"/>
      <c r="AQ1027" s="16"/>
      <c r="AS1027" s="17"/>
      <c r="AT1027" s="16"/>
      <c r="AU1027" s="5"/>
      <c r="AW1027" s="18"/>
      <c r="AY1027" s="16"/>
      <c r="AZ1027" s="16"/>
      <c r="BA1027" s="16">
        <v>3.5999999999999997E-2</v>
      </c>
      <c r="BB1027" s="16"/>
      <c r="BD1027" s="16"/>
      <c r="BE1027" s="16"/>
      <c r="BG1027" s="16"/>
      <c r="BI1027" s="16"/>
      <c r="BK1027" s="16">
        <v>5.3999999999999999E-2</v>
      </c>
      <c r="BM1027" s="19"/>
      <c r="BO1027" s="16"/>
      <c r="BP1027"/>
      <c r="BQ1027" s="20"/>
      <c r="BR1027"/>
      <c r="BS1027"/>
      <c r="BU1027" s="5"/>
      <c r="CH1027" s="44"/>
    </row>
    <row r="1028" spans="1:86" x14ac:dyDescent="0.2">
      <c r="A1028" s="3" t="s">
        <v>33</v>
      </c>
      <c r="B1028" s="39">
        <v>938</v>
      </c>
      <c r="C1028" s="82"/>
      <c r="M1028" s="15"/>
      <c r="N1028" s="15"/>
      <c r="O1028" s="16"/>
      <c r="P1028" s="15"/>
      <c r="Q1028" s="15"/>
      <c r="R1028" s="15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L1028" s="16"/>
      <c r="AM1028" s="16"/>
      <c r="AN1028" s="16"/>
      <c r="AO1028" s="16"/>
      <c r="AP1028" s="16"/>
      <c r="AQ1028" s="16"/>
      <c r="AS1028" s="17"/>
      <c r="AT1028" s="16"/>
      <c r="AU1028" s="5"/>
      <c r="AW1028" s="18"/>
      <c r="AY1028" s="16"/>
      <c r="AZ1028" s="16"/>
      <c r="BA1028" s="16">
        <v>3.6999999999999998E-2</v>
      </c>
      <c r="BB1028" s="16"/>
      <c r="BD1028" s="16"/>
      <c r="BE1028" s="16"/>
      <c r="BG1028" s="16"/>
      <c r="BI1028" s="16"/>
      <c r="BK1028" s="16">
        <v>4.4999999999999998E-2</v>
      </c>
      <c r="BM1028" s="19"/>
      <c r="BO1028" s="16"/>
      <c r="BP1028"/>
      <c r="BQ1028" s="20"/>
      <c r="BR1028"/>
      <c r="BS1028"/>
      <c r="BU1028" s="5"/>
      <c r="CH1028" s="44"/>
    </row>
    <row r="1029" spans="1:86" x14ac:dyDescent="0.2">
      <c r="A1029" s="3" t="s">
        <v>33</v>
      </c>
      <c r="B1029" s="39">
        <v>939</v>
      </c>
      <c r="C1029" s="82"/>
      <c r="M1029" s="21"/>
      <c r="N1029" s="21"/>
      <c r="O1029" s="22"/>
      <c r="P1029" s="21"/>
      <c r="Q1029" s="21"/>
      <c r="R1029" s="21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3"/>
      <c r="AJ1029" s="23"/>
      <c r="AK1029" s="23"/>
      <c r="AL1029" s="22"/>
      <c r="AM1029" s="22"/>
      <c r="AN1029" s="22"/>
      <c r="AO1029" s="22"/>
      <c r="AP1029" s="22"/>
      <c r="AQ1029" s="22"/>
      <c r="AR1029" s="23"/>
      <c r="AS1029" s="22"/>
      <c r="AT1029" s="22"/>
      <c r="AU1029" s="24"/>
      <c r="AV1029" s="23"/>
      <c r="AW1029" s="25"/>
      <c r="AX1029" s="23"/>
      <c r="AY1029" s="22"/>
      <c r="AZ1029" s="16"/>
      <c r="BA1029" s="16"/>
      <c r="BB1029" s="16"/>
      <c r="BC1029" s="23"/>
      <c r="BD1029" s="16"/>
      <c r="BE1029" s="16"/>
      <c r="BF1029" s="23"/>
      <c r="BG1029" s="16"/>
      <c r="BH1029" s="23"/>
      <c r="BI1029" s="16"/>
      <c r="BJ1029" s="23"/>
      <c r="BK1029" s="16"/>
      <c r="BL1029" s="23"/>
      <c r="BM1029" s="16"/>
      <c r="BN1029" s="16">
        <v>0.06</v>
      </c>
      <c r="BO1029" s="16"/>
      <c r="BP1029" s="23"/>
      <c r="BQ1029" s="25"/>
      <c r="BR1029" s="23"/>
      <c r="BS1029" s="23"/>
      <c r="BT1029" s="23"/>
      <c r="BU1029" s="24"/>
      <c r="BV1029" s="23"/>
      <c r="BW1029" s="23"/>
      <c r="BX1029" s="16">
        <v>6.8000000000000005E-2</v>
      </c>
      <c r="BY1029" s="23"/>
      <c r="BZ1029" s="23"/>
      <c r="CA1029" s="23"/>
      <c r="CB1029" s="23"/>
      <c r="CC1029" s="23"/>
      <c r="CD1029" s="23"/>
      <c r="CE1029" s="23"/>
      <c r="CF1029" s="23"/>
      <c r="CG1029" s="23"/>
      <c r="CH1029" s="56"/>
    </row>
    <row r="1030" spans="1:86" x14ac:dyDescent="0.2">
      <c r="A1030" s="3" t="s">
        <v>33</v>
      </c>
      <c r="B1030" s="39">
        <v>339</v>
      </c>
      <c r="C1030" s="82"/>
      <c r="M1030" s="21"/>
      <c r="N1030" s="21"/>
      <c r="O1030" s="22"/>
      <c r="P1030" s="21"/>
      <c r="Q1030" s="21"/>
      <c r="R1030" s="23"/>
      <c r="S1030" s="22"/>
      <c r="T1030" s="22"/>
      <c r="U1030" s="22"/>
      <c r="V1030" s="22"/>
      <c r="W1030" s="16">
        <v>2.1000000000000001E-2</v>
      </c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3"/>
      <c r="AJ1030" s="23"/>
      <c r="AK1030" s="23"/>
      <c r="AL1030" s="22"/>
      <c r="AM1030" s="22"/>
      <c r="AN1030" s="22"/>
      <c r="AO1030" s="22"/>
      <c r="AP1030" s="22"/>
      <c r="AQ1030" s="22"/>
      <c r="AR1030" s="23"/>
      <c r="AS1030" s="22"/>
      <c r="AT1030" s="22"/>
      <c r="AU1030" s="24"/>
      <c r="AV1030" s="23"/>
      <c r="AW1030" s="25"/>
      <c r="AX1030" s="23"/>
      <c r="AY1030" s="22"/>
      <c r="AZ1030" s="22"/>
      <c r="BA1030" s="16">
        <v>7.8E-2</v>
      </c>
      <c r="BB1030" s="22"/>
      <c r="BC1030" s="23"/>
      <c r="BD1030" s="22"/>
      <c r="BE1030" s="22"/>
      <c r="BF1030" s="23"/>
      <c r="BG1030" s="22"/>
      <c r="BH1030" s="23"/>
      <c r="BI1030" s="22"/>
      <c r="BJ1030" s="23"/>
      <c r="BK1030" s="22"/>
      <c r="BL1030" s="23"/>
      <c r="BM1030" s="22"/>
      <c r="BN1030" s="23"/>
      <c r="BO1030" s="22"/>
      <c r="BP1030" s="23"/>
      <c r="BQ1030" s="22"/>
      <c r="BR1030" s="23"/>
      <c r="BS1030" s="22"/>
      <c r="BT1030" s="23"/>
      <c r="BU1030" s="22"/>
      <c r="BV1030" s="23"/>
      <c r="BW1030" s="23"/>
      <c r="BX1030" s="22"/>
      <c r="BY1030" s="23"/>
      <c r="BZ1030" s="23"/>
      <c r="CA1030" s="23"/>
      <c r="CB1030" s="23"/>
      <c r="CC1030" s="23"/>
      <c r="CD1030" s="23"/>
      <c r="CE1030" s="23"/>
      <c r="CF1030" s="23"/>
      <c r="CG1030" s="23"/>
      <c r="CH1030" s="56"/>
    </row>
    <row r="1031" spans="1:86" x14ac:dyDescent="0.2">
      <c r="A1031" s="3" t="s">
        <v>33</v>
      </c>
      <c r="B1031" s="39">
        <v>940</v>
      </c>
      <c r="C1031" s="82"/>
      <c r="M1031" s="21"/>
      <c r="N1031" s="21"/>
      <c r="O1031" s="22"/>
      <c r="P1031" s="21"/>
      <c r="Q1031" s="21"/>
      <c r="R1031" s="23"/>
      <c r="S1031" s="22"/>
      <c r="T1031" s="22"/>
      <c r="U1031" s="22"/>
      <c r="V1031" s="22"/>
      <c r="W1031" s="16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3"/>
      <c r="AJ1031" s="23"/>
      <c r="AK1031" s="23"/>
      <c r="AL1031" s="22"/>
      <c r="AM1031" s="22"/>
      <c r="AN1031" s="22"/>
      <c r="AO1031" s="22"/>
      <c r="AP1031" s="22"/>
      <c r="AQ1031" s="22"/>
      <c r="AR1031" s="23"/>
      <c r="AS1031" s="22"/>
      <c r="AT1031" s="22"/>
      <c r="AU1031" s="24"/>
      <c r="AV1031" s="23"/>
      <c r="AW1031" s="25"/>
      <c r="AX1031" s="23"/>
      <c r="AY1031" s="22"/>
      <c r="AZ1031" s="22"/>
      <c r="BA1031" s="16"/>
      <c r="BB1031" s="22"/>
      <c r="BC1031" s="23"/>
      <c r="BD1031" s="22"/>
      <c r="BE1031" s="22"/>
      <c r="BF1031" s="23"/>
      <c r="BG1031" s="22"/>
      <c r="BH1031" s="23"/>
      <c r="BI1031" s="22"/>
      <c r="BJ1031" s="23"/>
      <c r="BK1031" s="22"/>
      <c r="BL1031" s="23"/>
      <c r="BM1031" s="22"/>
      <c r="BN1031" s="23"/>
      <c r="BO1031" s="22"/>
      <c r="BP1031" s="23"/>
      <c r="BQ1031" s="22"/>
      <c r="BR1031" s="16">
        <v>2.8000000000000001E-2</v>
      </c>
      <c r="BS1031" s="22"/>
      <c r="BT1031" s="23"/>
      <c r="BU1031" s="22"/>
      <c r="BV1031" s="23"/>
      <c r="BW1031" s="16">
        <v>3.2000000000000001E-2</v>
      </c>
      <c r="BX1031" s="22"/>
      <c r="BY1031" s="23"/>
      <c r="BZ1031" s="23"/>
      <c r="CA1031" s="23"/>
      <c r="CB1031" s="23"/>
      <c r="CC1031" s="23"/>
      <c r="CD1031" s="23"/>
      <c r="CE1031" s="23"/>
      <c r="CF1031" s="23"/>
      <c r="CG1031" s="23"/>
      <c r="CH1031" s="56"/>
    </row>
    <row r="1032" spans="1:86" x14ac:dyDescent="0.2">
      <c r="A1032" s="3" t="s">
        <v>33</v>
      </c>
      <c r="B1032" s="39">
        <v>941</v>
      </c>
      <c r="C1032" s="82"/>
      <c r="M1032" s="21"/>
      <c r="N1032" s="21"/>
      <c r="O1032" s="22"/>
      <c r="P1032" s="21"/>
      <c r="Q1032" s="21"/>
      <c r="R1032" s="23"/>
      <c r="S1032" s="22"/>
      <c r="T1032" s="22"/>
      <c r="U1032" s="22"/>
      <c r="V1032" s="22"/>
      <c r="W1032" s="16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8">
        <v>2.1203374777975133E-2</v>
      </c>
      <c r="AJ1032" s="23"/>
      <c r="AK1032" s="23"/>
      <c r="AL1032" s="22"/>
      <c r="AM1032" s="22"/>
      <c r="AN1032" s="28">
        <v>2.4438081926189778E-2</v>
      </c>
      <c r="AO1032" s="22"/>
      <c r="AP1032" s="22"/>
      <c r="AQ1032" s="22"/>
      <c r="AR1032" s="23"/>
      <c r="AS1032" s="28">
        <v>3.1450558140949603E-2</v>
      </c>
      <c r="AT1032" s="22"/>
      <c r="AU1032" s="24"/>
      <c r="AV1032" s="23"/>
      <c r="AW1032" s="25"/>
      <c r="AX1032" s="28">
        <v>4.0542516633764715E-2</v>
      </c>
      <c r="AY1032" s="22"/>
      <c r="AZ1032" s="22"/>
      <c r="BA1032" s="16"/>
      <c r="BB1032" s="22"/>
      <c r="BC1032" s="28">
        <v>5.057868940236418E-2</v>
      </c>
      <c r="BD1032" s="22"/>
      <c r="BE1032" s="22"/>
      <c r="BF1032" s="23"/>
      <c r="BG1032" s="28">
        <v>5.8123911420751434E-2</v>
      </c>
      <c r="BH1032" s="23"/>
      <c r="BI1032" s="22"/>
      <c r="BJ1032" s="23"/>
      <c r="BK1032" s="22"/>
      <c r="BL1032" s="23"/>
      <c r="BM1032" s="22"/>
      <c r="BN1032" s="23"/>
      <c r="BO1032" s="22"/>
      <c r="BP1032" s="23"/>
      <c r="BQ1032" s="22"/>
      <c r="BR1032" s="16"/>
      <c r="BS1032" s="22"/>
      <c r="BT1032" s="23"/>
      <c r="BU1032" s="22"/>
      <c r="BV1032" s="23"/>
      <c r="BW1032" s="16"/>
      <c r="BX1032" s="22"/>
      <c r="BY1032" s="23"/>
      <c r="BZ1032" s="23"/>
      <c r="CA1032" s="23"/>
      <c r="CB1032" s="23"/>
      <c r="CC1032" s="23"/>
      <c r="CD1032" s="23"/>
      <c r="CE1032" s="23"/>
      <c r="CF1032" s="23"/>
      <c r="CG1032" s="23"/>
      <c r="CH1032" s="56"/>
    </row>
    <row r="1033" spans="1:86" x14ac:dyDescent="0.2">
      <c r="A1033" s="3" t="s">
        <v>33</v>
      </c>
      <c r="B1033" s="39">
        <v>942</v>
      </c>
      <c r="C1033" s="82"/>
      <c r="M1033" s="21"/>
      <c r="N1033" s="21"/>
      <c r="O1033" s="22"/>
      <c r="P1033" s="21"/>
      <c r="Q1033" s="21"/>
      <c r="R1033" s="23"/>
      <c r="S1033" s="22"/>
      <c r="T1033" s="22"/>
      <c r="U1033" s="22"/>
      <c r="V1033" s="22"/>
      <c r="W1033" s="16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8"/>
      <c r="AJ1033" s="23"/>
      <c r="AK1033" s="23"/>
      <c r="AL1033" s="22"/>
      <c r="AM1033" s="22"/>
      <c r="AN1033" s="28"/>
      <c r="AO1033" s="22"/>
      <c r="AP1033" s="22"/>
      <c r="AQ1033" s="22"/>
      <c r="AR1033" s="23"/>
      <c r="AS1033" s="28"/>
      <c r="AT1033" s="22"/>
      <c r="AU1033" s="24"/>
      <c r="AV1033" s="23"/>
      <c r="AW1033" s="25"/>
      <c r="AX1033" s="28"/>
      <c r="AY1033" s="22"/>
      <c r="AZ1033" s="22"/>
      <c r="BA1033" s="16">
        <v>5.2999999999999999E-2</v>
      </c>
      <c r="BB1033" s="22"/>
      <c r="BC1033" s="28"/>
      <c r="BD1033" s="22"/>
      <c r="BE1033" s="22"/>
      <c r="BF1033" s="23"/>
      <c r="BG1033" s="28"/>
      <c r="BH1033" s="23"/>
      <c r="BI1033" s="22"/>
      <c r="BJ1033" s="23"/>
      <c r="BK1033" s="16">
        <v>8.4000000000000005E-2</v>
      </c>
      <c r="BL1033" s="23"/>
      <c r="BM1033" s="22"/>
      <c r="BN1033" s="23"/>
      <c r="BO1033" s="22"/>
      <c r="BP1033" s="23"/>
      <c r="BQ1033" s="22"/>
      <c r="BR1033" s="16"/>
      <c r="BS1033" s="22"/>
      <c r="BT1033" s="23"/>
      <c r="BU1033" s="22"/>
      <c r="BV1033" s="23"/>
      <c r="BW1033" s="16"/>
      <c r="BX1033" s="22"/>
      <c r="BY1033" s="23"/>
      <c r="BZ1033" s="23"/>
      <c r="CA1033" s="23"/>
      <c r="CB1033" s="23"/>
      <c r="CC1033" s="23"/>
      <c r="CD1033" s="23"/>
      <c r="CE1033" s="23"/>
      <c r="CF1033" s="23"/>
      <c r="CG1033" s="23"/>
      <c r="CH1033" s="56"/>
    </row>
    <row r="1034" spans="1:86" x14ac:dyDescent="0.2">
      <c r="A1034" s="3" t="s">
        <v>33</v>
      </c>
      <c r="B1034" s="39">
        <v>943</v>
      </c>
      <c r="C1034" s="82"/>
      <c r="M1034" s="21"/>
      <c r="N1034" s="21"/>
      <c r="O1034" s="22"/>
      <c r="P1034" s="21"/>
      <c r="Q1034" s="21"/>
      <c r="R1034" s="23"/>
      <c r="S1034" s="22"/>
      <c r="T1034" s="22"/>
      <c r="U1034" s="22"/>
      <c r="V1034" s="22"/>
      <c r="W1034" s="16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8"/>
      <c r="AJ1034" s="23"/>
      <c r="AK1034" s="23"/>
      <c r="AL1034" s="22"/>
      <c r="AM1034" s="22"/>
      <c r="AN1034" s="28"/>
      <c r="AO1034" s="22"/>
      <c r="AP1034" s="22"/>
      <c r="AQ1034" s="22"/>
      <c r="AR1034" s="23"/>
      <c r="AS1034" s="28"/>
      <c r="AT1034" s="22"/>
      <c r="AU1034" s="24"/>
      <c r="AV1034" s="23"/>
      <c r="AW1034" s="25"/>
      <c r="AX1034" s="28"/>
      <c r="AY1034" s="22"/>
      <c r="AZ1034" s="22"/>
      <c r="BA1034" s="16"/>
      <c r="BB1034" s="22"/>
      <c r="BC1034" s="28"/>
      <c r="BD1034" s="22"/>
      <c r="BE1034" s="22"/>
      <c r="BF1034" s="23"/>
      <c r="BG1034" s="28"/>
      <c r="BH1034" s="23"/>
      <c r="BI1034" s="22"/>
      <c r="BJ1034" s="23"/>
      <c r="BK1034" s="16"/>
      <c r="BL1034" s="23"/>
      <c r="BM1034" s="16">
        <v>0.06</v>
      </c>
      <c r="BN1034" s="23"/>
      <c r="BO1034" s="22"/>
      <c r="BP1034" s="23"/>
      <c r="BQ1034" s="22"/>
      <c r="BR1034" s="16"/>
      <c r="BS1034" s="22"/>
      <c r="BT1034" s="23"/>
      <c r="BU1034" s="16">
        <v>5.0999999999999997E-2</v>
      </c>
      <c r="BV1034" s="23"/>
      <c r="BW1034" s="16"/>
      <c r="BX1034" s="22"/>
      <c r="BY1034" s="23"/>
      <c r="BZ1034" s="23"/>
      <c r="CA1034" s="23"/>
      <c r="CB1034" s="23"/>
      <c r="CC1034" s="23"/>
      <c r="CD1034" s="23"/>
      <c r="CE1034" s="23"/>
      <c r="CF1034" s="23"/>
      <c r="CG1034" s="23"/>
      <c r="CH1034" s="56"/>
    </row>
    <row r="1035" spans="1:86" x14ac:dyDescent="0.2">
      <c r="A1035" s="3" t="s">
        <v>33</v>
      </c>
      <c r="B1035" s="39">
        <v>944</v>
      </c>
      <c r="C1035" s="82"/>
      <c r="M1035" s="21"/>
      <c r="N1035" s="21"/>
      <c r="O1035" s="22"/>
      <c r="P1035" s="21"/>
      <c r="Q1035" s="21"/>
      <c r="R1035" s="23"/>
      <c r="S1035" s="22"/>
      <c r="T1035" s="22"/>
      <c r="U1035" s="22"/>
      <c r="V1035" s="22"/>
      <c r="W1035" s="16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8"/>
      <c r="AJ1035" s="23"/>
      <c r="AK1035" s="23"/>
      <c r="AL1035" s="22"/>
      <c r="AM1035" s="22"/>
      <c r="AN1035" s="28"/>
      <c r="AO1035" s="22"/>
      <c r="AP1035" s="22"/>
      <c r="AQ1035" s="22"/>
      <c r="AR1035" s="23"/>
      <c r="AS1035" s="28"/>
      <c r="AT1035" s="22"/>
      <c r="AU1035" s="24"/>
      <c r="AV1035" s="23"/>
      <c r="AW1035" s="25"/>
      <c r="AX1035" s="28"/>
      <c r="AY1035" s="22"/>
      <c r="AZ1035" s="22"/>
      <c r="BA1035" s="16"/>
      <c r="BB1035" s="22"/>
      <c r="BC1035" s="28"/>
      <c r="BD1035" s="22"/>
      <c r="BE1035" s="10">
        <v>4.53E-2</v>
      </c>
      <c r="BF1035" s="23"/>
      <c r="BG1035" s="28"/>
      <c r="BH1035" s="23"/>
      <c r="BI1035" s="22"/>
      <c r="BJ1035" s="10">
        <v>4.6199999999999998E-2</v>
      </c>
      <c r="BK1035" s="16"/>
      <c r="BL1035" s="23"/>
      <c r="BM1035" s="16"/>
      <c r="BN1035" s="23"/>
      <c r="BO1035" s="10">
        <v>5.79E-2</v>
      </c>
      <c r="BP1035" s="23"/>
      <c r="BQ1035" s="22"/>
      <c r="BR1035" s="16"/>
      <c r="BS1035" s="22"/>
      <c r="BT1035" s="10">
        <v>6.9000000000000006E-2</v>
      </c>
      <c r="BU1035" s="16"/>
      <c r="BV1035" s="23"/>
      <c r="BW1035" s="16"/>
      <c r="BX1035" s="22"/>
      <c r="BY1035" s="10">
        <v>8.1799999999999998E-2</v>
      </c>
      <c r="BZ1035" s="23"/>
      <c r="CA1035" s="23"/>
      <c r="CB1035" s="23"/>
      <c r="CC1035" s="23"/>
      <c r="CD1035" s="23"/>
      <c r="CE1035" s="23"/>
      <c r="CF1035" s="23"/>
      <c r="CG1035" s="23"/>
      <c r="CH1035" s="56"/>
    </row>
    <row r="1036" spans="1:86" s="46" customFormat="1" x14ac:dyDescent="0.2">
      <c r="A1036" s="38" t="s">
        <v>33</v>
      </c>
      <c r="B1036" s="40">
        <v>945</v>
      </c>
      <c r="C1036" s="83"/>
      <c r="M1036" s="57"/>
      <c r="N1036" s="57"/>
      <c r="O1036" s="58"/>
      <c r="P1036" s="57"/>
      <c r="Q1036" s="57"/>
      <c r="R1036" s="59"/>
      <c r="S1036" s="58"/>
      <c r="T1036" s="58"/>
      <c r="U1036" s="58"/>
      <c r="V1036" s="58"/>
      <c r="W1036" s="63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72"/>
      <c r="AJ1036" s="59"/>
      <c r="AK1036" s="59"/>
      <c r="AL1036" s="58"/>
      <c r="AM1036" s="58"/>
      <c r="AN1036" s="72"/>
      <c r="AO1036" s="58"/>
      <c r="AP1036" s="58"/>
      <c r="AQ1036" s="58"/>
      <c r="AR1036" s="59"/>
      <c r="AS1036" s="72"/>
      <c r="AT1036" s="58"/>
      <c r="AU1036" s="60"/>
      <c r="AV1036" s="59"/>
      <c r="AW1036" s="61"/>
      <c r="AX1036" s="72"/>
      <c r="AY1036" s="58"/>
      <c r="AZ1036" s="58"/>
      <c r="BA1036" s="63"/>
      <c r="BB1036" s="58"/>
      <c r="BC1036" s="72"/>
      <c r="BD1036" s="58"/>
      <c r="BE1036" s="62"/>
      <c r="BF1036" s="59"/>
      <c r="BG1036" s="72"/>
      <c r="BH1036" s="59"/>
      <c r="BI1036" s="58"/>
      <c r="BJ1036" s="62"/>
      <c r="BK1036" s="63"/>
      <c r="BL1036" s="59"/>
      <c r="BM1036" s="63"/>
      <c r="BN1036" s="59"/>
      <c r="BO1036" s="62"/>
      <c r="BP1036" s="59"/>
      <c r="BQ1036" s="58"/>
      <c r="BR1036" s="63"/>
      <c r="BS1036" s="58"/>
      <c r="BT1036" s="62"/>
      <c r="BU1036" s="63"/>
      <c r="BV1036" s="59"/>
      <c r="BW1036" s="63"/>
      <c r="BX1036" s="58"/>
      <c r="BY1036" s="63">
        <v>4.41E-2</v>
      </c>
      <c r="BZ1036" s="59"/>
      <c r="CA1036" s="59"/>
      <c r="CB1036" s="59"/>
      <c r="CC1036" s="59"/>
      <c r="CD1036" s="63">
        <v>4.9000000000000002E-2</v>
      </c>
      <c r="CE1036" s="59"/>
      <c r="CF1036" s="59"/>
      <c r="CG1036" s="59"/>
      <c r="CH1036" s="64"/>
    </row>
    <row r="1037" spans="1:86" x14ac:dyDescent="0.2">
      <c r="A1037" s="3" t="s">
        <v>34</v>
      </c>
      <c r="B1037" s="39">
        <v>937</v>
      </c>
      <c r="C1037" s="82"/>
      <c r="M1037" s="15"/>
      <c r="N1037" s="15"/>
      <c r="O1037" s="16"/>
      <c r="P1037" s="15"/>
      <c r="Q1037" s="15"/>
      <c r="R1037" s="15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L1037" s="16"/>
      <c r="AM1037" s="16"/>
      <c r="AN1037" s="16"/>
      <c r="AO1037" s="16"/>
      <c r="AP1037" s="16"/>
      <c r="AQ1037" s="16"/>
      <c r="AS1037" s="17"/>
      <c r="AT1037" s="16"/>
      <c r="AU1037" s="5"/>
      <c r="AW1037" s="18"/>
      <c r="BA1037" s="16">
        <v>3.5000000000000003E-2</v>
      </c>
      <c r="BB1037" s="16"/>
      <c r="BC1037" s="19"/>
      <c r="BD1037" s="18"/>
      <c r="BF1037" s="16"/>
      <c r="BK1037" s="16">
        <v>6.7000000000000004E-2</v>
      </c>
      <c r="BM1037" s="19"/>
      <c r="BO1037" s="16"/>
      <c r="BP1037"/>
      <c r="BQ1037" s="20"/>
      <c r="BR1037"/>
      <c r="BS1037"/>
      <c r="BU1037" s="5"/>
      <c r="CH1037" s="44"/>
    </row>
    <row r="1038" spans="1:86" x14ac:dyDescent="0.2">
      <c r="A1038" s="3" t="s">
        <v>34</v>
      </c>
      <c r="B1038" s="39">
        <v>939</v>
      </c>
      <c r="C1038" s="82"/>
      <c r="M1038" s="21"/>
      <c r="N1038" s="21"/>
      <c r="O1038" s="22"/>
      <c r="P1038" s="21"/>
      <c r="Q1038" s="21"/>
      <c r="R1038" s="21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3"/>
      <c r="AJ1038" s="23"/>
      <c r="AK1038" s="23"/>
      <c r="AL1038" s="22"/>
      <c r="AM1038" s="22"/>
      <c r="AN1038" s="22"/>
      <c r="AO1038" s="22"/>
      <c r="AP1038" s="22"/>
      <c r="AQ1038" s="22"/>
      <c r="AR1038" s="23"/>
      <c r="AS1038" s="22"/>
      <c r="AT1038" s="22"/>
      <c r="AU1038" s="24"/>
      <c r="AV1038" s="23"/>
      <c r="AW1038" s="25"/>
      <c r="AX1038" s="23"/>
      <c r="AY1038" s="22"/>
      <c r="AZ1038" s="16"/>
      <c r="BA1038" s="16"/>
      <c r="BB1038" s="16"/>
      <c r="BC1038" s="23"/>
      <c r="BD1038" s="16"/>
      <c r="BE1038" s="16"/>
      <c r="BF1038" s="23"/>
      <c r="BG1038" s="16"/>
      <c r="BH1038" s="23"/>
      <c r="BI1038" s="16"/>
      <c r="BJ1038" s="23"/>
      <c r="BK1038" s="16"/>
      <c r="BL1038" s="23"/>
      <c r="BM1038" s="16"/>
      <c r="BN1038" s="16">
        <v>8.7999999999999995E-2</v>
      </c>
      <c r="BO1038" s="16"/>
      <c r="BP1038" s="23"/>
      <c r="BQ1038" s="25"/>
      <c r="BR1038" s="23"/>
      <c r="BS1038" s="23"/>
      <c r="BT1038" s="23"/>
      <c r="BU1038" s="24"/>
      <c r="BV1038" s="23"/>
      <c r="BW1038" s="23"/>
      <c r="BX1038" s="16">
        <v>0.14699999999999999</v>
      </c>
      <c r="BY1038" s="23"/>
      <c r="BZ1038" s="23"/>
      <c r="CA1038" s="23"/>
      <c r="CB1038" s="23"/>
      <c r="CC1038" s="23"/>
      <c r="CD1038" s="23"/>
      <c r="CE1038" s="23"/>
      <c r="CF1038" s="23"/>
      <c r="CG1038" s="23"/>
      <c r="CH1038" s="56"/>
    </row>
    <row r="1039" spans="1:86" x14ac:dyDescent="0.2">
      <c r="A1039" s="3" t="s">
        <v>34</v>
      </c>
      <c r="B1039" s="39">
        <v>339</v>
      </c>
      <c r="C1039" s="82"/>
      <c r="M1039" s="21"/>
      <c r="N1039" s="21"/>
      <c r="O1039" s="22"/>
      <c r="P1039" s="21"/>
      <c r="Q1039" s="21"/>
      <c r="R1039" s="21"/>
      <c r="S1039" s="22"/>
      <c r="T1039" s="22"/>
      <c r="U1039" s="22"/>
      <c r="V1039" s="22"/>
      <c r="W1039" s="16">
        <v>5.0000000000000001E-3</v>
      </c>
      <c r="X1039" s="22"/>
      <c r="Y1039" s="22"/>
      <c r="Z1039" s="22"/>
      <c r="AA1039" s="23"/>
      <c r="AB1039" s="22"/>
      <c r="AC1039" s="22"/>
      <c r="AD1039" s="22"/>
      <c r="AE1039" s="22"/>
      <c r="AF1039" s="22"/>
      <c r="AG1039" s="22"/>
      <c r="AH1039" s="22"/>
      <c r="AI1039" s="23"/>
      <c r="AJ1039" s="23"/>
      <c r="AK1039" s="23"/>
      <c r="AL1039" s="22"/>
      <c r="AM1039" s="22"/>
      <c r="AN1039" s="22"/>
      <c r="AO1039" s="22"/>
      <c r="AP1039" s="22"/>
      <c r="AQ1039" s="22"/>
      <c r="AR1039" s="23"/>
      <c r="AS1039" s="22"/>
      <c r="AT1039" s="22"/>
      <c r="AU1039" s="24"/>
      <c r="AV1039" s="23"/>
      <c r="AW1039" s="25"/>
      <c r="AX1039" s="23"/>
      <c r="AY1039" s="22"/>
      <c r="AZ1039" s="22"/>
      <c r="BA1039" s="16">
        <v>0.06</v>
      </c>
      <c r="BB1039" s="22"/>
      <c r="BC1039" s="23"/>
      <c r="BD1039" s="22"/>
      <c r="BE1039" s="22"/>
      <c r="BF1039" s="23"/>
      <c r="BG1039" s="22"/>
      <c r="BH1039" s="23"/>
      <c r="BI1039" s="22"/>
      <c r="BJ1039" s="23"/>
      <c r="BK1039" s="22"/>
      <c r="BL1039" s="23"/>
      <c r="BM1039" s="22"/>
      <c r="BN1039" s="23"/>
      <c r="BO1039" s="22"/>
      <c r="BP1039" s="23"/>
      <c r="BQ1039" s="22"/>
      <c r="BR1039" s="23"/>
      <c r="BS1039" s="22"/>
      <c r="BT1039" s="23"/>
      <c r="BU1039" s="22"/>
      <c r="BV1039" s="23"/>
      <c r="BW1039" s="23"/>
      <c r="BX1039" s="22"/>
      <c r="BY1039" s="23"/>
      <c r="BZ1039" s="23"/>
      <c r="CA1039" s="23"/>
      <c r="CB1039" s="23"/>
      <c r="CC1039" s="23"/>
      <c r="CD1039" s="23"/>
      <c r="CE1039" s="23"/>
      <c r="CF1039" s="23"/>
      <c r="CG1039" s="23"/>
      <c r="CH1039" s="56"/>
    </row>
    <row r="1040" spans="1:86" x14ac:dyDescent="0.2">
      <c r="A1040" s="3" t="s">
        <v>34</v>
      </c>
      <c r="B1040" s="39">
        <v>941</v>
      </c>
      <c r="C1040" s="82"/>
      <c r="M1040" s="21"/>
      <c r="N1040" s="21"/>
      <c r="O1040" s="22"/>
      <c r="P1040" s="21"/>
      <c r="Q1040" s="21"/>
      <c r="R1040" s="21"/>
      <c r="S1040" s="22"/>
      <c r="T1040" s="22"/>
      <c r="U1040" s="22"/>
      <c r="V1040" s="22"/>
      <c r="W1040" s="16"/>
      <c r="X1040" s="22"/>
      <c r="Y1040" s="22"/>
      <c r="Z1040" s="22"/>
      <c r="AA1040" s="23"/>
      <c r="AB1040" s="22"/>
      <c r="AC1040" s="23"/>
      <c r="AD1040" s="22"/>
      <c r="AE1040" s="22"/>
      <c r="AF1040" s="22"/>
      <c r="AG1040" s="22"/>
      <c r="AH1040" s="22"/>
      <c r="AI1040" s="28">
        <v>7.9820942210716509E-3</v>
      </c>
      <c r="AJ1040" s="23"/>
      <c r="AK1040" s="23"/>
      <c r="AL1040" s="22"/>
      <c r="AM1040" s="22"/>
      <c r="AN1040" s="28">
        <v>1.3896162190469066E-2</v>
      </c>
      <c r="AO1040" s="22"/>
      <c r="AP1040" s="22"/>
      <c r="AQ1040" s="22"/>
      <c r="AR1040" s="23"/>
      <c r="AS1040" s="28">
        <v>2.2555491771909682E-2</v>
      </c>
      <c r="AT1040" s="22"/>
      <c r="AU1040" s="24"/>
      <c r="AV1040" s="23"/>
      <c r="AW1040" s="25"/>
      <c r="AX1040" s="28">
        <v>3.3026604764949542E-2</v>
      </c>
      <c r="AY1040" s="22"/>
      <c r="AZ1040" s="22"/>
      <c r="BA1040" s="16"/>
      <c r="BB1040" s="22"/>
      <c r="BC1040" s="28">
        <v>4.5305043209080353E-2</v>
      </c>
      <c r="BD1040" s="22"/>
      <c r="BE1040" s="22"/>
      <c r="BF1040" s="23"/>
      <c r="BG1040" s="28">
        <v>5.4503874984118919E-2</v>
      </c>
      <c r="BH1040" s="23"/>
      <c r="BI1040" s="22"/>
      <c r="BJ1040" s="23"/>
      <c r="BK1040" s="22"/>
      <c r="BL1040" s="23"/>
      <c r="BM1040" s="22"/>
      <c r="BN1040" s="23"/>
      <c r="BO1040" s="22"/>
      <c r="BP1040" s="23"/>
      <c r="BQ1040" s="22"/>
      <c r="BR1040" s="23"/>
      <c r="BS1040" s="22"/>
      <c r="BT1040" s="23"/>
      <c r="BU1040" s="22"/>
      <c r="BV1040" s="23"/>
      <c r="BW1040" s="23"/>
      <c r="BX1040" s="22"/>
      <c r="BY1040" s="23"/>
      <c r="BZ1040" s="23"/>
      <c r="CA1040" s="23"/>
      <c r="CB1040" s="23"/>
      <c r="CC1040" s="23"/>
      <c r="CD1040" s="23"/>
      <c r="CE1040" s="23"/>
      <c r="CF1040" s="23"/>
      <c r="CG1040" s="23"/>
      <c r="CH1040" s="56"/>
    </row>
    <row r="1041" spans="1:86" x14ac:dyDescent="0.2">
      <c r="A1041" s="3" t="s">
        <v>34</v>
      </c>
      <c r="B1041" s="39">
        <v>942</v>
      </c>
      <c r="C1041" s="82"/>
      <c r="M1041" s="21"/>
      <c r="N1041" s="21"/>
      <c r="O1041" s="22"/>
      <c r="P1041" s="21"/>
      <c r="Q1041" s="21"/>
      <c r="R1041" s="21"/>
      <c r="S1041" s="22"/>
      <c r="T1041" s="22"/>
      <c r="U1041" s="22"/>
      <c r="V1041" s="22"/>
      <c r="W1041" s="16"/>
      <c r="X1041" s="22"/>
      <c r="Y1041" s="22"/>
      <c r="Z1041" s="22"/>
      <c r="AA1041" s="23"/>
      <c r="AB1041" s="22"/>
      <c r="AC1041" s="23"/>
      <c r="AD1041" s="22"/>
      <c r="AE1041" s="22"/>
      <c r="AF1041" s="22"/>
      <c r="AG1041" s="22"/>
      <c r="AH1041" s="22"/>
      <c r="AI1041" s="28"/>
      <c r="AJ1041" s="23"/>
      <c r="AK1041" s="23"/>
      <c r="AL1041" s="22"/>
      <c r="AM1041" s="22"/>
      <c r="AN1041" s="28"/>
      <c r="AO1041" s="22"/>
      <c r="AP1041" s="22"/>
      <c r="AQ1041" s="22"/>
      <c r="AR1041" s="23"/>
      <c r="AS1041" s="28"/>
      <c r="AT1041" s="22"/>
      <c r="AU1041" s="24"/>
      <c r="AV1041" s="23"/>
      <c r="AW1041" s="25"/>
      <c r="AX1041" s="28"/>
      <c r="AY1041" s="22"/>
      <c r="AZ1041" s="22"/>
      <c r="BA1041" s="16">
        <v>2.8000000000000001E-2</v>
      </c>
      <c r="BB1041" s="22"/>
      <c r="BC1041" s="28"/>
      <c r="BD1041" s="22"/>
      <c r="BE1041" s="22"/>
      <c r="BF1041" s="23"/>
      <c r="BG1041" s="28"/>
      <c r="BH1041" s="23"/>
      <c r="BI1041" s="22"/>
      <c r="BJ1041" s="23"/>
      <c r="BK1041" s="16">
        <v>9.7000000000000003E-2</v>
      </c>
      <c r="BL1041" s="23"/>
      <c r="BM1041" s="22"/>
      <c r="BN1041" s="23"/>
      <c r="BO1041" s="22"/>
      <c r="BP1041" s="23"/>
      <c r="BQ1041" s="22"/>
      <c r="BR1041" s="23"/>
      <c r="BS1041" s="22"/>
      <c r="BT1041" s="23"/>
      <c r="BU1041" s="22"/>
      <c r="BV1041" s="23"/>
      <c r="BW1041" s="23"/>
      <c r="BX1041" s="22"/>
      <c r="BY1041" s="23"/>
      <c r="BZ1041" s="23"/>
      <c r="CA1041" s="23"/>
      <c r="CB1041" s="23"/>
      <c r="CC1041" s="23"/>
      <c r="CD1041" s="23"/>
      <c r="CE1041" s="23"/>
      <c r="CF1041" s="23"/>
      <c r="CG1041" s="23"/>
      <c r="CH1041" s="56"/>
    </row>
    <row r="1042" spans="1:86" x14ac:dyDescent="0.2">
      <c r="A1042" s="3" t="s">
        <v>34</v>
      </c>
      <c r="B1042" s="39">
        <v>943</v>
      </c>
      <c r="C1042" s="82"/>
      <c r="M1042" s="21"/>
      <c r="N1042" s="21"/>
      <c r="O1042" s="22"/>
      <c r="P1042" s="21"/>
      <c r="Q1042" s="21"/>
      <c r="R1042" s="21"/>
      <c r="S1042" s="22"/>
      <c r="T1042" s="22"/>
      <c r="U1042" s="22"/>
      <c r="V1042" s="22"/>
      <c r="W1042" s="16"/>
      <c r="X1042" s="22"/>
      <c r="Y1042" s="22"/>
      <c r="Z1042" s="22"/>
      <c r="AA1042" s="23"/>
      <c r="AB1042" s="22"/>
      <c r="AC1042" s="23"/>
      <c r="AD1042" s="22"/>
      <c r="AE1042" s="22"/>
      <c r="AF1042" s="22"/>
      <c r="AG1042" s="22"/>
      <c r="AH1042" s="22"/>
      <c r="AI1042" s="28"/>
      <c r="AJ1042" s="23"/>
      <c r="AK1042" s="23"/>
      <c r="AL1042" s="22"/>
      <c r="AM1042" s="22"/>
      <c r="AN1042" s="28"/>
      <c r="AO1042" s="22"/>
      <c r="AP1042" s="22"/>
      <c r="AQ1042" s="22"/>
      <c r="AR1042" s="23"/>
      <c r="AS1042" s="28"/>
      <c r="AT1042" s="22"/>
      <c r="AU1042" s="24"/>
      <c r="AV1042" s="23"/>
      <c r="AW1042" s="25"/>
      <c r="AX1042" s="28"/>
      <c r="AY1042" s="22"/>
      <c r="AZ1042" s="22"/>
      <c r="BA1042" s="16"/>
      <c r="BB1042" s="22"/>
      <c r="BC1042" s="28"/>
      <c r="BD1042" s="22"/>
      <c r="BE1042" s="22"/>
      <c r="BF1042" s="23"/>
      <c r="BG1042" s="28"/>
      <c r="BH1042" s="23"/>
      <c r="BI1042" s="22"/>
      <c r="BJ1042" s="23"/>
      <c r="BK1042" s="16"/>
      <c r="BL1042" s="23"/>
      <c r="BM1042" s="16">
        <v>0.112</v>
      </c>
      <c r="BN1042" s="23"/>
      <c r="BO1042" s="22"/>
      <c r="BP1042" s="23"/>
      <c r="BQ1042" s="22"/>
      <c r="BR1042" s="23"/>
      <c r="BS1042" s="22"/>
      <c r="BT1042" s="23"/>
      <c r="BU1042" s="16">
        <v>0.13700000000000001</v>
      </c>
      <c r="BV1042" s="23"/>
      <c r="BW1042" s="23"/>
      <c r="BX1042" s="22"/>
      <c r="BY1042" s="23"/>
      <c r="BZ1042" s="23"/>
      <c r="CA1042" s="23"/>
      <c r="CB1042" s="23"/>
      <c r="CC1042" s="23"/>
      <c r="CD1042" s="23"/>
      <c r="CE1042" s="23"/>
      <c r="CF1042" s="23"/>
      <c r="CG1042" s="23"/>
      <c r="CH1042" s="56"/>
    </row>
    <row r="1043" spans="1:86" s="46" customFormat="1" x14ac:dyDescent="0.2">
      <c r="A1043" s="38" t="s">
        <v>34</v>
      </c>
      <c r="B1043" s="40">
        <v>944</v>
      </c>
      <c r="C1043" s="83"/>
      <c r="M1043" s="57"/>
      <c r="N1043" s="57"/>
      <c r="O1043" s="58"/>
      <c r="P1043" s="57"/>
      <c r="Q1043" s="57"/>
      <c r="R1043" s="57"/>
      <c r="S1043" s="58"/>
      <c r="T1043" s="58"/>
      <c r="U1043" s="58"/>
      <c r="V1043" s="58"/>
      <c r="W1043" s="63"/>
      <c r="X1043" s="58"/>
      <c r="Y1043" s="58"/>
      <c r="Z1043" s="58"/>
      <c r="AA1043" s="59"/>
      <c r="AB1043" s="58"/>
      <c r="AC1043" s="59"/>
      <c r="AD1043" s="58"/>
      <c r="AE1043" s="58"/>
      <c r="AF1043" s="58"/>
      <c r="AG1043" s="58"/>
      <c r="AH1043" s="58"/>
      <c r="AI1043" s="72"/>
      <c r="AJ1043" s="59"/>
      <c r="AK1043" s="59"/>
      <c r="AL1043" s="58"/>
      <c r="AM1043" s="58"/>
      <c r="AN1043" s="72"/>
      <c r="AO1043" s="58"/>
      <c r="AP1043" s="58"/>
      <c r="AQ1043" s="58"/>
      <c r="AR1043" s="59"/>
      <c r="AS1043" s="72"/>
      <c r="AT1043" s="58"/>
      <c r="AU1043" s="60"/>
      <c r="AV1043" s="59"/>
      <c r="AW1043" s="61"/>
      <c r="AX1043" s="72"/>
      <c r="AY1043" s="58"/>
      <c r="AZ1043" s="58"/>
      <c r="BA1043" s="63"/>
      <c r="BB1043" s="58"/>
      <c r="BC1043" s="72"/>
      <c r="BD1043" s="58"/>
      <c r="BE1043" s="63">
        <v>3.61E-2</v>
      </c>
      <c r="BF1043" s="59"/>
      <c r="BG1043" s="72"/>
      <c r="BH1043" s="59"/>
      <c r="BI1043" s="58"/>
      <c r="BJ1043" s="63">
        <v>5.0999999999999997E-2</v>
      </c>
      <c r="BK1043" s="63"/>
      <c r="BL1043" s="59"/>
      <c r="BM1043" s="63"/>
      <c r="BN1043" s="59"/>
      <c r="BO1043" s="63">
        <v>5.5800000000000002E-2</v>
      </c>
      <c r="BP1043" s="59"/>
      <c r="BQ1043" s="58"/>
      <c r="BR1043" s="59"/>
      <c r="BS1043" s="58"/>
      <c r="BT1043" s="63">
        <v>6.6100000000000006E-2</v>
      </c>
      <c r="BU1043" s="63"/>
      <c r="BV1043" s="59"/>
      <c r="BW1043" s="59"/>
      <c r="BX1043" s="58"/>
      <c r="BY1043" s="63">
        <v>8.7400000000000005E-2</v>
      </c>
      <c r="BZ1043" s="59"/>
      <c r="CA1043" s="59"/>
      <c r="CB1043" s="59"/>
      <c r="CC1043" s="59"/>
      <c r="CD1043" s="59"/>
      <c r="CE1043" s="59"/>
      <c r="CF1043" s="59"/>
      <c r="CG1043" s="59"/>
      <c r="CH1043" s="64"/>
    </row>
    <row r="1044" spans="1:86" x14ac:dyDescent="0.2">
      <c r="A1044" s="3" t="s">
        <v>35</v>
      </c>
      <c r="B1044" s="39">
        <v>946</v>
      </c>
      <c r="C1044" s="82"/>
      <c r="M1044" s="15"/>
      <c r="N1044" s="15"/>
      <c r="O1044" s="16"/>
      <c r="P1044" s="15"/>
      <c r="Q1044" s="15"/>
      <c r="R1044" s="15"/>
      <c r="S1044" s="15"/>
      <c r="T1044" s="15"/>
      <c r="U1044" s="15"/>
      <c r="V1044" s="15"/>
      <c r="W1044" s="28"/>
      <c r="X1044" s="15"/>
      <c r="Y1044" s="15"/>
      <c r="Z1044" s="15"/>
      <c r="AA1044" s="29"/>
      <c r="AB1044" s="28"/>
      <c r="AC1044" s="29"/>
      <c r="AD1044" s="29"/>
      <c r="AE1044" s="29"/>
      <c r="AF1044" s="29"/>
      <c r="AG1044" s="16"/>
      <c r="AK1044" s="5"/>
      <c r="AS1044" s="17"/>
      <c r="AT1044" s="16">
        <v>0.14599999999999999</v>
      </c>
      <c r="AU1044" s="5"/>
      <c r="AW1044" s="18">
        <v>0.18099999999999999</v>
      </c>
      <c r="BB1044" s="5"/>
      <c r="BC1044" s="19"/>
      <c r="BD1044" s="18">
        <v>0.25700000000000001</v>
      </c>
      <c r="BG1044" s="10"/>
      <c r="BK1044" s="5"/>
      <c r="BL1044" s="10"/>
      <c r="BM1044" s="19"/>
      <c r="BO1044" s="16">
        <v>0.28199999999999997</v>
      </c>
      <c r="BP1044"/>
      <c r="BR1044"/>
      <c r="BS1044"/>
      <c r="BU1044" s="5"/>
      <c r="CH1044" s="44"/>
    </row>
    <row r="1045" spans="1:86" x14ac:dyDescent="0.2">
      <c r="A1045" s="3" t="s">
        <v>35</v>
      </c>
      <c r="B1045" s="39">
        <v>947</v>
      </c>
      <c r="C1045" s="82"/>
      <c r="M1045" s="15"/>
      <c r="N1045" s="15"/>
      <c r="O1045" s="16"/>
      <c r="P1045" s="15"/>
      <c r="Q1045" s="15"/>
      <c r="R1045" s="15"/>
      <c r="S1045" s="15"/>
      <c r="T1045" s="15"/>
      <c r="U1045" s="15"/>
      <c r="V1045" s="15"/>
      <c r="W1045" s="28"/>
      <c r="X1045" s="15"/>
      <c r="Y1045" s="15"/>
      <c r="Z1045" s="15"/>
      <c r="AA1045" s="29"/>
      <c r="AB1045" s="28"/>
      <c r="AC1045" s="29"/>
      <c r="AD1045" s="29"/>
      <c r="AE1045" s="29"/>
      <c r="AF1045" s="29"/>
      <c r="AK1045" s="5"/>
      <c r="AS1045" s="17"/>
      <c r="AT1045" s="16"/>
      <c r="AU1045" s="5"/>
      <c r="AW1045" s="18"/>
      <c r="BB1045" s="5"/>
      <c r="BC1045" s="19"/>
      <c r="BD1045" s="18"/>
      <c r="BF1045" s="16">
        <v>0.13700000000000001</v>
      </c>
      <c r="BK1045" s="20">
        <v>0.11</v>
      </c>
      <c r="BM1045" s="19"/>
      <c r="BO1045" s="16"/>
      <c r="BP1045"/>
      <c r="BQ1045" s="20">
        <v>0.12</v>
      </c>
      <c r="BR1045"/>
      <c r="BS1045"/>
      <c r="BU1045" s="5"/>
      <c r="CH1045" s="44"/>
    </row>
    <row r="1046" spans="1:86" x14ac:dyDescent="0.2">
      <c r="A1046" s="3" t="s">
        <v>35</v>
      </c>
      <c r="B1046" s="39">
        <v>947</v>
      </c>
      <c r="C1046" s="82"/>
      <c r="M1046" s="15"/>
      <c r="N1046" s="15"/>
      <c r="O1046" s="16"/>
      <c r="P1046" s="15"/>
      <c r="Q1046" s="15"/>
      <c r="R1046" s="15"/>
      <c r="S1046" s="15"/>
      <c r="T1046" s="15"/>
      <c r="U1046" s="15"/>
      <c r="V1046" s="15"/>
      <c r="W1046" s="28"/>
      <c r="X1046" s="15"/>
      <c r="Y1046" s="15"/>
      <c r="Z1046" s="15"/>
      <c r="AA1046" s="29"/>
      <c r="AB1046" s="28"/>
      <c r="AC1046" s="29"/>
      <c r="AD1046" s="29"/>
      <c r="AE1046" s="29"/>
      <c r="AF1046" s="29"/>
      <c r="AK1046" s="5"/>
      <c r="AS1046" s="17"/>
      <c r="AT1046" s="16"/>
      <c r="AU1046" s="5"/>
      <c r="AW1046" s="18"/>
      <c r="BB1046" s="5"/>
      <c r="BC1046" s="19"/>
      <c r="BD1046" s="18"/>
      <c r="BF1046" s="16">
        <v>2.3E-2</v>
      </c>
      <c r="BK1046" s="20">
        <v>1.4999999999999999E-2</v>
      </c>
      <c r="BM1046" s="19"/>
      <c r="BO1046" s="16"/>
      <c r="BP1046"/>
      <c r="BQ1046" s="20">
        <v>0.01</v>
      </c>
      <c r="BR1046"/>
      <c r="BS1046"/>
      <c r="BU1046" s="5"/>
      <c r="CH1046" s="44"/>
    </row>
    <row r="1047" spans="1:86" x14ac:dyDescent="0.2">
      <c r="A1047" s="3" t="s">
        <v>35</v>
      </c>
      <c r="B1047" s="39">
        <v>947</v>
      </c>
      <c r="C1047" s="82"/>
      <c r="M1047" s="15"/>
      <c r="N1047" s="15"/>
      <c r="O1047" s="16"/>
      <c r="P1047" s="15"/>
      <c r="Q1047" s="15"/>
      <c r="R1047" s="15"/>
      <c r="S1047" s="15"/>
      <c r="T1047" s="15"/>
      <c r="U1047" s="15"/>
      <c r="V1047" s="15"/>
      <c r="W1047" s="28"/>
      <c r="X1047" s="15"/>
      <c r="Y1047" s="15"/>
      <c r="Z1047" s="15"/>
      <c r="AA1047" s="29"/>
      <c r="AB1047" s="28"/>
      <c r="AC1047" s="29"/>
      <c r="AD1047" s="29"/>
      <c r="AE1047" s="29"/>
      <c r="AF1047" s="29"/>
      <c r="AK1047" s="5"/>
      <c r="AS1047" s="17"/>
      <c r="AT1047" s="16"/>
      <c r="AU1047" s="5"/>
      <c r="AW1047" s="18"/>
      <c r="BB1047" s="5"/>
      <c r="BC1047" s="19"/>
      <c r="BD1047" s="18"/>
      <c r="BF1047" s="16">
        <v>2.9000000000000001E-2</v>
      </c>
      <c r="BK1047" s="20">
        <v>2.3E-2</v>
      </c>
      <c r="BM1047" s="19"/>
      <c r="BO1047" s="16"/>
      <c r="BP1047"/>
      <c r="BQ1047" s="20">
        <v>1.9E-2</v>
      </c>
      <c r="BR1047"/>
      <c r="BS1047"/>
      <c r="BU1047" s="5"/>
      <c r="CH1047" s="44"/>
    </row>
    <row r="1048" spans="1:86" x14ac:dyDescent="0.2">
      <c r="A1048" s="3" t="s">
        <v>35</v>
      </c>
      <c r="B1048" s="39">
        <v>947</v>
      </c>
      <c r="C1048" s="82"/>
      <c r="M1048" s="15"/>
      <c r="N1048" s="15"/>
      <c r="O1048" s="16"/>
      <c r="P1048" s="15"/>
      <c r="Q1048" s="15"/>
      <c r="R1048" s="15"/>
      <c r="S1048" s="15"/>
      <c r="T1048" s="15"/>
      <c r="U1048" s="15"/>
      <c r="V1048" s="15"/>
      <c r="W1048" s="28"/>
      <c r="X1048" s="15"/>
      <c r="Y1048" s="15"/>
      <c r="Z1048" s="15"/>
      <c r="AA1048" s="29"/>
      <c r="AB1048" s="28"/>
      <c r="AC1048" s="29"/>
      <c r="AD1048" s="29"/>
      <c r="AE1048" s="29"/>
      <c r="AF1048" s="29"/>
      <c r="AK1048" s="5"/>
      <c r="AS1048" s="17"/>
      <c r="AT1048" s="16"/>
      <c r="AU1048" s="5"/>
      <c r="AW1048" s="18"/>
      <c r="BB1048" s="5"/>
      <c r="BC1048" s="19"/>
      <c r="BD1048" s="18"/>
      <c r="BF1048" s="16">
        <v>0.04</v>
      </c>
      <c r="BK1048" s="20">
        <v>4.2999999999999997E-2</v>
      </c>
      <c r="BM1048" s="19"/>
      <c r="BO1048" s="16"/>
      <c r="BP1048"/>
      <c r="BQ1048" s="20">
        <v>2.8000000000000001E-2</v>
      </c>
      <c r="BR1048"/>
      <c r="BS1048"/>
      <c r="BU1048" s="5"/>
      <c r="CH1048" s="44"/>
    </row>
    <row r="1049" spans="1:86" x14ac:dyDescent="0.2">
      <c r="A1049" s="3" t="s">
        <v>35</v>
      </c>
      <c r="B1049" s="39">
        <v>947</v>
      </c>
      <c r="C1049" s="82"/>
      <c r="M1049" s="15"/>
      <c r="N1049" s="15"/>
      <c r="O1049" s="16"/>
      <c r="P1049" s="15"/>
      <c r="Q1049" s="15"/>
      <c r="R1049" s="15"/>
      <c r="S1049" s="15"/>
      <c r="T1049" s="15"/>
      <c r="U1049" s="15"/>
      <c r="V1049" s="15"/>
      <c r="W1049" s="28"/>
      <c r="X1049" s="15"/>
      <c r="Y1049" s="15"/>
      <c r="Z1049" s="15"/>
      <c r="AA1049" s="29"/>
      <c r="AB1049" s="28"/>
      <c r="AC1049" s="29"/>
      <c r="AD1049" s="29"/>
      <c r="AE1049" s="29"/>
      <c r="AF1049" s="29"/>
      <c r="AK1049" s="5"/>
      <c r="AS1049" s="17"/>
      <c r="AT1049" s="16"/>
      <c r="AU1049" s="5"/>
      <c r="AW1049" s="18"/>
      <c r="BB1049" s="5"/>
      <c r="BC1049" s="19"/>
      <c r="BD1049" s="18"/>
      <c r="BF1049" s="16">
        <v>0.33900000000000002</v>
      </c>
      <c r="BK1049" s="20">
        <v>0.32700000000000001</v>
      </c>
      <c r="BM1049" s="19"/>
      <c r="BO1049" s="16"/>
      <c r="BP1049"/>
      <c r="BQ1049" s="20">
        <v>0.316</v>
      </c>
      <c r="BR1049"/>
      <c r="BS1049"/>
      <c r="BU1049" s="5"/>
      <c r="CH1049" s="44"/>
    </row>
    <row r="1050" spans="1:86" x14ac:dyDescent="0.2">
      <c r="A1050" s="3" t="s">
        <v>35</v>
      </c>
      <c r="B1050" s="39">
        <v>947</v>
      </c>
      <c r="C1050" s="82"/>
      <c r="M1050" s="15"/>
      <c r="N1050" s="15"/>
      <c r="O1050" s="16"/>
      <c r="P1050" s="15"/>
      <c r="Q1050" s="15"/>
      <c r="R1050" s="15"/>
      <c r="S1050" s="15"/>
      <c r="T1050" s="15"/>
      <c r="U1050" s="15"/>
      <c r="V1050" s="15"/>
      <c r="W1050" s="28"/>
      <c r="X1050" s="15"/>
      <c r="Y1050" s="15"/>
      <c r="Z1050" s="15"/>
      <c r="AA1050" s="29"/>
      <c r="AB1050" s="28"/>
      <c r="AC1050" s="29"/>
      <c r="AD1050" s="29"/>
      <c r="AE1050" s="29"/>
      <c r="AF1050" s="29"/>
      <c r="AK1050" s="5"/>
      <c r="AS1050" s="17"/>
      <c r="AT1050" s="16"/>
      <c r="AU1050" s="5"/>
      <c r="AW1050" s="18"/>
      <c r="BB1050" s="5"/>
      <c r="BC1050" s="19"/>
      <c r="BD1050" s="18"/>
      <c r="BF1050" s="16">
        <v>2.9000000000000001E-2</v>
      </c>
      <c r="BK1050" s="20">
        <v>0.02</v>
      </c>
      <c r="BM1050" s="19"/>
      <c r="BO1050" s="16"/>
      <c r="BP1050"/>
      <c r="BQ1050" s="20">
        <v>7.0000000000000001E-3</v>
      </c>
      <c r="BR1050"/>
      <c r="BS1050"/>
      <c r="BU1050" s="5"/>
      <c r="CH1050" s="44"/>
    </row>
    <row r="1051" spans="1:86" x14ac:dyDescent="0.2">
      <c r="A1051" s="3" t="s">
        <v>35</v>
      </c>
      <c r="B1051" s="39">
        <v>947</v>
      </c>
      <c r="C1051" s="82"/>
      <c r="M1051" s="15"/>
      <c r="N1051" s="15"/>
      <c r="O1051" s="16"/>
      <c r="P1051" s="15"/>
      <c r="Q1051" s="15"/>
      <c r="R1051" s="15"/>
      <c r="S1051" s="15"/>
      <c r="T1051" s="15"/>
      <c r="U1051" s="15"/>
      <c r="V1051" s="15"/>
      <c r="W1051" s="28"/>
      <c r="X1051" s="15"/>
      <c r="Y1051" s="15"/>
      <c r="Z1051" s="15"/>
      <c r="AA1051" s="29"/>
      <c r="AB1051" s="28"/>
      <c r="AC1051" s="29"/>
      <c r="AD1051" s="29"/>
      <c r="AE1051" s="29"/>
      <c r="AF1051" s="29"/>
      <c r="AK1051" s="5"/>
      <c r="AS1051" s="17"/>
      <c r="AT1051" s="16"/>
      <c r="AU1051" s="5"/>
      <c r="AW1051" s="18"/>
      <c r="BB1051" s="5"/>
      <c r="BC1051" s="19"/>
      <c r="BD1051" s="18"/>
      <c r="BF1051" s="16">
        <v>1.7000000000000001E-2</v>
      </c>
      <c r="BK1051" s="20">
        <v>0.01</v>
      </c>
      <c r="BM1051" s="19"/>
      <c r="BO1051" s="16"/>
      <c r="BP1051"/>
      <c r="BQ1051" s="20">
        <v>1.4E-2</v>
      </c>
      <c r="BR1051"/>
      <c r="BS1051"/>
      <c r="BU1051" s="5"/>
      <c r="CH1051" s="44"/>
    </row>
    <row r="1052" spans="1:86" x14ac:dyDescent="0.2">
      <c r="A1052" s="3" t="s">
        <v>35</v>
      </c>
      <c r="B1052" s="39">
        <v>947</v>
      </c>
      <c r="C1052" s="82"/>
      <c r="M1052" s="15"/>
      <c r="N1052" s="15"/>
      <c r="O1052" s="16"/>
      <c r="P1052" s="15"/>
      <c r="Q1052" s="15"/>
      <c r="R1052" s="15"/>
      <c r="S1052" s="15"/>
      <c r="T1052" s="15"/>
      <c r="U1052" s="15"/>
      <c r="V1052" s="15"/>
      <c r="W1052" s="28"/>
      <c r="X1052" s="15"/>
      <c r="Y1052" s="15"/>
      <c r="Z1052" s="15"/>
      <c r="AA1052" s="29"/>
      <c r="AB1052" s="28"/>
      <c r="AC1052" s="29"/>
      <c r="AD1052" s="29"/>
      <c r="AE1052" s="29"/>
      <c r="AF1052" s="29"/>
      <c r="AK1052" s="5"/>
      <c r="AS1052" s="17"/>
      <c r="AT1052" s="16"/>
      <c r="AU1052" s="5"/>
      <c r="AW1052" s="18"/>
      <c r="BB1052" s="5"/>
      <c r="BC1052" s="19"/>
      <c r="BD1052" s="18"/>
      <c r="BF1052" s="16">
        <v>9.2999999999999999E-2</v>
      </c>
      <c r="BK1052" s="20">
        <v>7.0999999999999994E-2</v>
      </c>
      <c r="BM1052" s="19"/>
      <c r="BO1052" s="16"/>
      <c r="BP1052"/>
      <c r="BQ1052" s="20">
        <v>6.3E-2</v>
      </c>
      <c r="BR1052"/>
      <c r="BS1052"/>
      <c r="BU1052" s="5"/>
      <c r="CH1052" s="44"/>
    </row>
    <row r="1053" spans="1:86" x14ac:dyDescent="0.2">
      <c r="A1053" s="3" t="s">
        <v>35</v>
      </c>
      <c r="B1053" s="39">
        <v>947</v>
      </c>
      <c r="C1053" s="82"/>
      <c r="M1053" s="15"/>
      <c r="N1053" s="15"/>
      <c r="O1053" s="16"/>
      <c r="P1053" s="15"/>
      <c r="Q1053" s="15"/>
      <c r="R1053" s="15"/>
      <c r="S1053" s="15"/>
      <c r="T1053" s="15"/>
      <c r="U1053" s="15"/>
      <c r="V1053" s="15"/>
      <c r="W1053" s="28"/>
      <c r="X1053" s="15"/>
      <c r="Y1053" s="15"/>
      <c r="Z1053" s="15"/>
      <c r="AA1053" s="29"/>
      <c r="AB1053" s="28"/>
      <c r="AC1053" s="29"/>
      <c r="AD1053" s="29"/>
      <c r="AE1053" s="29"/>
      <c r="AF1053" s="29"/>
      <c r="AK1053" s="5"/>
      <c r="AS1053" s="17"/>
      <c r="AT1053" s="16"/>
      <c r="AU1053" s="5"/>
      <c r="AW1053" s="18"/>
      <c r="BB1053" s="5"/>
      <c r="BC1053" s="19"/>
      <c r="BD1053" s="18"/>
      <c r="BF1053" s="16">
        <v>5.8000000000000003E-2</v>
      </c>
      <c r="BK1053" s="20">
        <v>4.9000000000000002E-2</v>
      </c>
      <c r="BM1053" s="19"/>
      <c r="BO1053" s="16"/>
      <c r="BP1053"/>
      <c r="BQ1053" s="20">
        <v>0.03</v>
      </c>
      <c r="BR1053"/>
      <c r="BS1053"/>
      <c r="BU1053" s="5"/>
      <c r="CH1053" s="44"/>
    </row>
    <row r="1054" spans="1:86" x14ac:dyDescent="0.2">
      <c r="A1054" s="3" t="s">
        <v>35</v>
      </c>
      <c r="B1054" s="39">
        <v>947</v>
      </c>
      <c r="C1054" s="82"/>
      <c r="M1054" s="15"/>
      <c r="N1054" s="15"/>
      <c r="O1054" s="16"/>
      <c r="P1054" s="15"/>
      <c r="Q1054" s="15"/>
      <c r="R1054" s="15"/>
      <c r="S1054" s="15"/>
      <c r="T1054" s="15"/>
      <c r="U1054" s="15"/>
      <c r="V1054" s="15"/>
      <c r="W1054" s="28"/>
      <c r="X1054" s="15"/>
      <c r="Y1054" s="15"/>
      <c r="Z1054" s="15"/>
      <c r="AA1054" s="29"/>
      <c r="AB1054" s="28"/>
      <c r="AC1054" s="29"/>
      <c r="AD1054" s="29"/>
      <c r="AE1054" s="29"/>
      <c r="AF1054" s="29"/>
      <c r="AK1054" s="5"/>
      <c r="AS1054" s="17"/>
      <c r="AT1054" s="16"/>
      <c r="AU1054" s="5"/>
      <c r="AW1054" s="18"/>
      <c r="BB1054" s="5"/>
      <c r="BC1054" s="19"/>
      <c r="BD1054" s="18"/>
      <c r="BF1054" s="16">
        <v>6.4000000000000001E-2</v>
      </c>
      <c r="BK1054" s="20">
        <v>0.04</v>
      </c>
      <c r="BM1054" s="19"/>
      <c r="BO1054" s="16"/>
      <c r="BP1054"/>
      <c r="BQ1054" s="20">
        <v>2.4E-2</v>
      </c>
      <c r="BR1054"/>
      <c r="BS1054"/>
      <c r="BU1054" s="5"/>
      <c r="CH1054" s="44"/>
    </row>
    <row r="1055" spans="1:86" x14ac:dyDescent="0.2">
      <c r="A1055" s="3" t="s">
        <v>35</v>
      </c>
      <c r="B1055" s="39">
        <v>947</v>
      </c>
      <c r="C1055" s="82"/>
      <c r="M1055" s="15"/>
      <c r="N1055" s="15"/>
      <c r="O1055" s="16"/>
      <c r="P1055" s="15"/>
      <c r="Q1055" s="15"/>
      <c r="R1055" s="15"/>
      <c r="S1055" s="15"/>
      <c r="T1055" s="15"/>
      <c r="U1055" s="15"/>
      <c r="V1055" s="15"/>
      <c r="W1055" s="28"/>
      <c r="X1055" s="15"/>
      <c r="Y1055" s="15"/>
      <c r="Z1055" s="15"/>
      <c r="AA1055" s="29"/>
      <c r="AB1055" s="28"/>
      <c r="AC1055" s="29"/>
      <c r="AD1055" s="29"/>
      <c r="AE1055" s="29"/>
      <c r="AF1055" s="29"/>
      <c r="AK1055" s="5"/>
      <c r="AS1055" s="17"/>
      <c r="AT1055" s="16"/>
      <c r="AU1055" s="5"/>
      <c r="AW1055" s="18"/>
      <c r="BB1055" s="5"/>
      <c r="BC1055" s="19"/>
      <c r="BD1055" s="18"/>
      <c r="BF1055" s="16">
        <v>0.124</v>
      </c>
      <c r="BK1055" s="20">
        <v>0.20899999999999999</v>
      </c>
      <c r="BM1055" s="19"/>
      <c r="BO1055" s="16"/>
      <c r="BP1055"/>
      <c r="BQ1055" s="20">
        <v>0.26300000000000001</v>
      </c>
      <c r="BR1055"/>
      <c r="BS1055"/>
      <c r="BU1055" s="5"/>
      <c r="CH1055" s="44"/>
    </row>
    <row r="1056" spans="1:86" x14ac:dyDescent="0.2">
      <c r="A1056" s="3" t="s">
        <v>35</v>
      </c>
      <c r="B1056" s="39">
        <v>947</v>
      </c>
      <c r="C1056" s="82"/>
      <c r="M1056" s="15"/>
      <c r="N1056" s="15"/>
      <c r="O1056" s="16"/>
      <c r="P1056" s="15"/>
      <c r="Q1056" s="15"/>
      <c r="R1056" s="15"/>
      <c r="S1056" s="15"/>
      <c r="T1056" s="15"/>
      <c r="U1056" s="15"/>
      <c r="V1056" s="15"/>
      <c r="W1056" s="28"/>
      <c r="X1056" s="15"/>
      <c r="Y1056" s="15"/>
      <c r="Z1056" s="15"/>
      <c r="AA1056" s="29"/>
      <c r="AB1056" s="28"/>
      <c r="AC1056" s="29"/>
      <c r="AD1056" s="29"/>
      <c r="AE1056" s="29"/>
      <c r="AF1056" s="29"/>
      <c r="AK1056" s="5"/>
      <c r="AS1056" s="17"/>
      <c r="AT1056" s="16"/>
      <c r="AU1056" s="5"/>
      <c r="AW1056" s="18"/>
      <c r="BB1056" s="5"/>
      <c r="BC1056" s="19"/>
      <c r="BD1056" s="18"/>
      <c r="BF1056" s="16">
        <v>3.6999999999999998E-2</v>
      </c>
      <c r="BK1056" s="20">
        <v>7.0000000000000007E-2</v>
      </c>
      <c r="BM1056" s="19"/>
      <c r="BO1056" s="16"/>
      <c r="BP1056"/>
      <c r="BQ1056" s="20">
        <v>0.09</v>
      </c>
      <c r="BR1056"/>
      <c r="BS1056"/>
      <c r="BU1056" s="5"/>
      <c r="CH1056" s="44"/>
    </row>
    <row r="1057" spans="1:86" x14ac:dyDescent="0.2">
      <c r="A1057" s="3" t="s">
        <v>35</v>
      </c>
      <c r="B1057" s="39">
        <v>947</v>
      </c>
      <c r="C1057" s="82"/>
      <c r="M1057" s="15"/>
      <c r="N1057" s="15"/>
      <c r="O1057" s="16"/>
      <c r="P1057" s="15"/>
      <c r="Q1057" s="15"/>
      <c r="R1057" s="15"/>
      <c r="S1057" s="15"/>
      <c r="T1057" s="15"/>
      <c r="U1057" s="15"/>
      <c r="V1057" s="15"/>
      <c r="W1057" s="28"/>
      <c r="X1057" s="15"/>
      <c r="Y1057" s="15"/>
      <c r="Z1057" s="15"/>
      <c r="AA1057" s="29"/>
      <c r="AB1057" s="28"/>
      <c r="AC1057" s="29"/>
      <c r="AD1057" s="29"/>
      <c r="AE1057" s="29"/>
      <c r="AF1057" s="29"/>
      <c r="AK1057" s="5"/>
      <c r="AS1057" s="17"/>
      <c r="AT1057" s="16"/>
      <c r="AU1057" s="5"/>
      <c r="AW1057" s="18"/>
      <c r="BB1057" s="5"/>
      <c r="BC1057" s="19"/>
      <c r="BD1057" s="18"/>
      <c r="BF1057" s="16">
        <v>8.9999999999999993E-3</v>
      </c>
      <c r="BK1057" s="20">
        <v>1.0999999999999999E-2</v>
      </c>
      <c r="BM1057" s="19"/>
      <c r="BO1057" s="16"/>
      <c r="BP1057"/>
      <c r="BQ1057" s="20">
        <v>1.6E-2</v>
      </c>
      <c r="BR1057"/>
      <c r="BS1057"/>
      <c r="BU1057" s="5"/>
      <c r="CH1057" s="44"/>
    </row>
    <row r="1058" spans="1:86" x14ac:dyDescent="0.2">
      <c r="A1058" s="3" t="s">
        <v>35</v>
      </c>
      <c r="B1058" s="39">
        <v>948</v>
      </c>
      <c r="C1058" s="82"/>
      <c r="M1058" s="15"/>
      <c r="N1058" s="15"/>
      <c r="O1058" s="16"/>
      <c r="P1058" s="15"/>
      <c r="Q1058" s="15"/>
      <c r="R1058" s="15"/>
      <c r="S1058" s="15"/>
      <c r="T1058" s="15"/>
      <c r="U1058" s="15"/>
      <c r="V1058" s="15"/>
      <c r="W1058" s="28"/>
      <c r="X1058" s="15"/>
      <c r="Y1058" s="15"/>
      <c r="Z1058" s="15"/>
      <c r="AA1058" s="29"/>
      <c r="AB1058" s="28"/>
      <c r="AC1058" s="29"/>
      <c r="AD1058" s="29"/>
      <c r="AE1058" s="29"/>
      <c r="AF1058" s="29"/>
      <c r="AG1058" s="16"/>
      <c r="AK1058" s="5"/>
      <c r="AS1058" s="17"/>
      <c r="AT1058" s="16"/>
      <c r="AU1058" s="5"/>
      <c r="AW1058" s="18"/>
      <c r="BB1058" s="5"/>
      <c r="BC1058" s="19"/>
      <c r="BD1058" s="18"/>
      <c r="BF1058" s="16"/>
      <c r="BK1058" s="16">
        <v>7.8E-2</v>
      </c>
      <c r="BM1058" s="19"/>
      <c r="BO1058" s="16"/>
      <c r="BP1058"/>
      <c r="BQ1058" s="18"/>
      <c r="BR1058" s="18">
        <v>6.5000000000000002E-2</v>
      </c>
      <c r="BS1058"/>
      <c r="BU1058" s="5"/>
      <c r="BY1058" s="18">
        <v>0.11600000000000001</v>
      </c>
      <c r="CH1058" s="44"/>
    </row>
    <row r="1059" spans="1:86" x14ac:dyDescent="0.2">
      <c r="A1059" s="3" t="s">
        <v>35</v>
      </c>
      <c r="B1059" s="39">
        <v>374</v>
      </c>
      <c r="C1059" s="82"/>
      <c r="M1059" s="15"/>
      <c r="N1059" s="15"/>
      <c r="O1059" s="16"/>
      <c r="P1059" s="15"/>
      <c r="Q1059" s="15"/>
      <c r="R1059" s="15"/>
      <c r="S1059" s="15"/>
      <c r="T1059" s="15"/>
      <c r="U1059" s="15"/>
      <c r="V1059" s="15"/>
      <c r="W1059" s="28"/>
      <c r="X1059" s="15"/>
      <c r="Y1059" s="15"/>
      <c r="Z1059" s="15"/>
      <c r="AA1059" s="29"/>
      <c r="AB1059" s="28"/>
      <c r="AC1059" s="29"/>
      <c r="AD1059" s="29"/>
      <c r="AE1059" s="29"/>
      <c r="AF1059" s="29"/>
      <c r="AG1059" s="16"/>
      <c r="AK1059" s="5"/>
      <c r="AS1059" s="17"/>
      <c r="AT1059" s="16"/>
      <c r="AU1059" s="5"/>
      <c r="AW1059" s="18"/>
      <c r="BB1059" s="5"/>
      <c r="BC1059" s="19"/>
      <c r="BD1059" s="18"/>
      <c r="BF1059" s="16"/>
      <c r="BK1059" s="16"/>
      <c r="BM1059" s="19"/>
      <c r="BO1059" s="16"/>
      <c r="BP1059"/>
      <c r="BQ1059" s="18"/>
      <c r="BR1059" s="16">
        <v>0.31900000000000001</v>
      </c>
      <c r="BS1059"/>
      <c r="BU1059" s="5"/>
      <c r="BY1059" s="18"/>
      <c r="CB1059" s="20">
        <v>0.4</v>
      </c>
      <c r="CH1059" s="44"/>
    </row>
    <row r="1060" spans="1:86" x14ac:dyDescent="0.2">
      <c r="A1060" s="3" t="s">
        <v>35</v>
      </c>
      <c r="B1060" s="39">
        <v>374</v>
      </c>
      <c r="C1060" s="82"/>
      <c r="M1060" s="15"/>
      <c r="N1060" s="15"/>
      <c r="O1060" s="16"/>
      <c r="P1060" s="15"/>
      <c r="Q1060" s="15"/>
      <c r="R1060" s="15"/>
      <c r="S1060" s="15"/>
      <c r="T1060" s="15"/>
      <c r="U1060" s="15"/>
      <c r="V1060" s="15"/>
      <c r="W1060" s="28"/>
      <c r="X1060" s="15"/>
      <c r="Y1060" s="15"/>
      <c r="Z1060" s="15"/>
      <c r="AA1060" s="29"/>
      <c r="AB1060" s="28"/>
      <c r="AC1060" s="29"/>
      <c r="AD1060" s="29"/>
      <c r="AE1060" s="29"/>
      <c r="AF1060" s="29"/>
      <c r="AG1060" s="16"/>
      <c r="AK1060" s="5"/>
      <c r="AS1060" s="17"/>
      <c r="AT1060" s="16"/>
      <c r="AU1060" s="5"/>
      <c r="AW1060" s="18"/>
      <c r="BB1060" s="5"/>
      <c r="BC1060" s="19"/>
      <c r="BD1060" s="18"/>
      <c r="BF1060" s="16"/>
      <c r="BK1060" s="16"/>
      <c r="BM1060" s="19"/>
      <c r="BO1060" s="16"/>
      <c r="BP1060"/>
      <c r="BQ1060" s="18"/>
      <c r="BR1060" s="16">
        <v>0.04</v>
      </c>
      <c r="BS1060"/>
      <c r="BU1060" s="5"/>
      <c r="BY1060" s="18"/>
      <c r="CB1060" s="20">
        <v>0.106</v>
      </c>
      <c r="CH1060" s="44"/>
    </row>
    <row r="1061" spans="1:86" x14ac:dyDescent="0.2">
      <c r="A1061" s="3" t="s">
        <v>35</v>
      </c>
      <c r="B1061" s="39">
        <v>374</v>
      </c>
      <c r="C1061" s="82"/>
      <c r="M1061" s="15"/>
      <c r="N1061" s="15"/>
      <c r="O1061" s="16"/>
      <c r="P1061" s="15"/>
      <c r="Q1061" s="15"/>
      <c r="R1061" s="15"/>
      <c r="S1061" s="15"/>
      <c r="T1061" s="15"/>
      <c r="U1061" s="15"/>
      <c r="V1061" s="15"/>
      <c r="W1061" s="28"/>
      <c r="X1061" s="15"/>
      <c r="Y1061" s="15"/>
      <c r="Z1061" s="15"/>
      <c r="AA1061" s="29"/>
      <c r="AB1061" s="28"/>
      <c r="AC1061" s="29"/>
      <c r="AD1061" s="29"/>
      <c r="AE1061" s="29"/>
      <c r="AF1061" s="29"/>
      <c r="AG1061" s="16"/>
      <c r="AK1061" s="5"/>
      <c r="AS1061" s="17"/>
      <c r="AT1061" s="16"/>
      <c r="AU1061" s="5"/>
      <c r="AW1061" s="18"/>
      <c r="BB1061" s="5"/>
      <c r="BC1061" s="19"/>
      <c r="BD1061" s="18"/>
      <c r="BF1061" s="16"/>
      <c r="BK1061" s="16"/>
      <c r="BM1061" s="19"/>
      <c r="BO1061" s="16"/>
      <c r="BP1061"/>
      <c r="BQ1061" s="18"/>
      <c r="BR1061" s="16">
        <v>0.23599999999999999</v>
      </c>
      <c r="BS1061"/>
      <c r="BU1061" s="5"/>
      <c r="BY1061" s="18"/>
      <c r="CB1061" s="20">
        <v>0.34100000000000003</v>
      </c>
      <c r="CH1061" s="44"/>
    </row>
    <row r="1062" spans="1:86" x14ac:dyDescent="0.2">
      <c r="A1062" s="3" t="s">
        <v>35</v>
      </c>
      <c r="B1062" s="39">
        <v>374</v>
      </c>
      <c r="C1062" s="82"/>
      <c r="M1062" s="15"/>
      <c r="N1062" s="15"/>
      <c r="O1062" s="16"/>
      <c r="P1062" s="15"/>
      <c r="Q1062" s="15"/>
      <c r="R1062" s="15"/>
      <c r="S1062" s="15"/>
      <c r="T1062" s="15"/>
      <c r="U1062" s="15"/>
      <c r="V1062" s="15"/>
      <c r="W1062" s="28"/>
      <c r="X1062" s="15"/>
      <c r="Y1062" s="15"/>
      <c r="Z1062" s="15"/>
      <c r="AA1062" s="29"/>
      <c r="AB1062" s="28"/>
      <c r="AC1062" s="29"/>
      <c r="AD1062" s="29"/>
      <c r="AE1062" s="29"/>
      <c r="AF1062" s="29"/>
      <c r="AG1062" s="16"/>
      <c r="AK1062" s="5"/>
      <c r="AS1062" s="17"/>
      <c r="AT1062" s="16"/>
      <c r="AU1062" s="5"/>
      <c r="AW1062" s="18"/>
      <c r="BB1062" s="5"/>
      <c r="BC1062" s="19"/>
      <c r="BD1062" s="18"/>
      <c r="BF1062" s="16"/>
      <c r="BK1062" s="16"/>
      <c r="BM1062" s="19"/>
      <c r="BO1062" s="16"/>
      <c r="BP1062"/>
      <c r="BQ1062" s="18"/>
      <c r="BR1062" s="16">
        <v>0.15</v>
      </c>
      <c r="BS1062"/>
      <c r="BU1062" s="5"/>
      <c r="BY1062" s="18"/>
      <c r="CB1062" s="20">
        <v>0.123</v>
      </c>
      <c r="CH1062" s="44"/>
    </row>
    <row r="1063" spans="1:86" x14ac:dyDescent="0.2">
      <c r="A1063" s="3" t="s">
        <v>35</v>
      </c>
      <c r="B1063" s="39">
        <v>374</v>
      </c>
      <c r="C1063" s="82"/>
      <c r="M1063" s="15"/>
      <c r="N1063" s="15"/>
      <c r="O1063" s="16"/>
      <c r="P1063" s="15"/>
      <c r="Q1063" s="15"/>
      <c r="R1063" s="15"/>
      <c r="S1063" s="15"/>
      <c r="T1063" s="15"/>
      <c r="U1063" s="15"/>
      <c r="V1063" s="15"/>
      <c r="W1063" s="28"/>
      <c r="X1063" s="15"/>
      <c r="Y1063" s="15"/>
      <c r="Z1063" s="15"/>
      <c r="AA1063" s="29"/>
      <c r="AB1063" s="28"/>
      <c r="AC1063" s="29"/>
      <c r="AD1063" s="29"/>
      <c r="AE1063" s="29"/>
      <c r="AF1063" s="29"/>
      <c r="AG1063" s="16"/>
      <c r="AK1063" s="5"/>
      <c r="AS1063" s="17"/>
      <c r="AT1063" s="16"/>
      <c r="AU1063" s="5"/>
      <c r="AW1063" s="18"/>
      <c r="BB1063" s="5"/>
      <c r="BC1063" s="19"/>
      <c r="BD1063" s="18"/>
      <c r="BF1063" s="16"/>
      <c r="BK1063" s="16"/>
      <c r="BM1063" s="19"/>
      <c r="BO1063" s="16"/>
      <c r="BP1063"/>
      <c r="BQ1063" s="18"/>
      <c r="BR1063" s="16">
        <v>0.35</v>
      </c>
      <c r="BS1063"/>
      <c r="BU1063" s="5"/>
      <c r="BV1063" s="20">
        <v>0.35</v>
      </c>
      <c r="BY1063" s="18"/>
      <c r="CB1063" s="20">
        <v>0.20399999999999999</v>
      </c>
      <c r="CH1063" s="44"/>
    </row>
    <row r="1064" spans="1:86" x14ac:dyDescent="0.2">
      <c r="A1064" s="3" t="s">
        <v>35</v>
      </c>
      <c r="B1064" s="39">
        <v>949</v>
      </c>
      <c r="C1064" s="82"/>
      <c r="M1064" s="15"/>
      <c r="N1064" s="15"/>
      <c r="O1064" s="16"/>
      <c r="P1064" s="15"/>
      <c r="Q1064" s="15"/>
      <c r="R1064" s="15"/>
      <c r="S1064" s="15"/>
      <c r="T1064" s="15"/>
      <c r="U1064" s="15"/>
      <c r="V1064" s="15"/>
      <c r="W1064" s="28"/>
      <c r="X1064" s="15"/>
      <c r="Y1064" s="15"/>
      <c r="Z1064" s="15"/>
      <c r="AA1064" s="29"/>
      <c r="AB1064" s="28"/>
      <c r="AC1064" s="29"/>
      <c r="AD1064" s="29"/>
      <c r="AE1064" s="29"/>
      <c r="AF1064" s="29"/>
      <c r="AG1064" s="16"/>
      <c r="AK1064" s="5"/>
      <c r="AL1064" s="16">
        <v>0.05</v>
      </c>
      <c r="AS1064" s="17"/>
      <c r="AT1064" s="16"/>
      <c r="AU1064" s="5"/>
      <c r="AV1064" s="18">
        <v>0.22</v>
      </c>
      <c r="AW1064" s="18"/>
      <c r="BB1064" s="5"/>
      <c r="BC1064" s="19"/>
      <c r="BD1064" s="18"/>
      <c r="BF1064" s="16"/>
      <c r="BK1064" s="16"/>
      <c r="BM1064" s="19"/>
      <c r="BO1064" s="16"/>
      <c r="BP1064"/>
      <c r="BQ1064" s="18"/>
      <c r="BR1064" s="16"/>
      <c r="BS1064"/>
      <c r="BU1064" s="5"/>
      <c r="BV1064" s="20"/>
      <c r="BY1064" s="18"/>
      <c r="CB1064" s="20"/>
      <c r="CH1064" s="44"/>
    </row>
    <row r="1065" spans="1:86" x14ac:dyDescent="0.2">
      <c r="A1065" s="3" t="s">
        <v>35</v>
      </c>
      <c r="B1065" s="39">
        <v>949</v>
      </c>
      <c r="C1065" s="82"/>
      <c r="M1065" s="15"/>
      <c r="N1065" s="15"/>
      <c r="O1065" s="16"/>
      <c r="P1065" s="15"/>
      <c r="Q1065" s="15"/>
      <c r="R1065" s="15"/>
      <c r="S1065" s="15"/>
      <c r="T1065" s="15"/>
      <c r="U1065" s="15"/>
      <c r="V1065" s="15"/>
      <c r="W1065" s="28"/>
      <c r="X1065" s="15"/>
      <c r="Y1065" s="15"/>
      <c r="Z1065" s="15"/>
      <c r="AA1065" s="29"/>
      <c r="AB1065" s="28"/>
      <c r="AC1065" s="29"/>
      <c r="AD1065" s="29"/>
      <c r="AE1065" s="29"/>
      <c r="AF1065" s="29"/>
      <c r="AG1065" s="16"/>
      <c r="AK1065" s="5"/>
      <c r="AL1065" s="16">
        <v>0.28000000000000003</v>
      </c>
      <c r="AQ1065" s="18">
        <v>0.313</v>
      </c>
      <c r="AS1065" s="17"/>
      <c r="AT1065" s="16"/>
      <c r="AU1065" s="5"/>
      <c r="AV1065" s="18">
        <v>0.29299999999999998</v>
      </c>
      <c r="AW1065" s="18"/>
      <c r="BB1065" s="5"/>
      <c r="BC1065" s="19"/>
      <c r="BD1065" s="18"/>
      <c r="BF1065" s="16"/>
      <c r="BK1065" s="16"/>
      <c r="BM1065" s="19"/>
      <c r="BO1065" s="16"/>
      <c r="BP1065"/>
      <c r="BQ1065" s="18"/>
      <c r="BR1065" s="16"/>
      <c r="BS1065"/>
      <c r="BU1065" s="5"/>
      <c r="BV1065" s="20"/>
      <c r="BY1065" s="18"/>
      <c r="CB1065" s="20"/>
      <c r="CH1065" s="44"/>
    </row>
    <row r="1066" spans="1:86" s="46" customFormat="1" x14ac:dyDescent="0.2">
      <c r="A1066" s="38" t="s">
        <v>35</v>
      </c>
      <c r="B1066" s="40">
        <v>819</v>
      </c>
      <c r="C1066" s="83"/>
      <c r="M1066" s="67"/>
      <c r="N1066" s="67"/>
      <c r="O1066" s="63"/>
      <c r="P1066" s="67"/>
      <c r="Q1066" s="67"/>
      <c r="R1066" s="67"/>
      <c r="S1066" s="67"/>
      <c r="T1066" s="67"/>
      <c r="U1066" s="67"/>
      <c r="V1066" s="67"/>
      <c r="W1066" s="72"/>
      <c r="X1066" s="67"/>
      <c r="Y1066" s="67"/>
      <c r="Z1066" s="67"/>
      <c r="AA1066" s="73"/>
      <c r="AB1066" s="72"/>
      <c r="AC1066" s="73"/>
      <c r="AD1066" s="73"/>
      <c r="AE1066" s="73"/>
      <c r="AF1066" s="73"/>
      <c r="AG1066" s="63"/>
      <c r="AK1066" s="48"/>
      <c r="AL1066" s="63"/>
      <c r="AQ1066" s="68"/>
      <c r="AS1066" s="70"/>
      <c r="AT1066" s="63"/>
      <c r="AU1066" s="48"/>
      <c r="AV1066" s="68"/>
      <c r="AW1066" s="68"/>
      <c r="BB1066" s="48"/>
      <c r="BC1066" s="71"/>
      <c r="BD1066" s="68"/>
      <c r="BF1066" s="63"/>
      <c r="BK1066" s="63"/>
      <c r="BM1066" s="71"/>
      <c r="BO1066" s="63"/>
      <c r="BQ1066" s="68"/>
      <c r="BR1066" s="63">
        <v>5.9999999999999995E-4</v>
      </c>
      <c r="BS1066" s="63">
        <v>5.0000000000000001E-4</v>
      </c>
      <c r="BT1066" s="63">
        <v>5.0000000000000001E-4</v>
      </c>
      <c r="BU1066" s="63">
        <v>6.9999999999999999E-4</v>
      </c>
      <c r="BV1066" s="63">
        <v>6.9999999999999999E-4</v>
      </c>
      <c r="BW1066" s="63">
        <v>8.9999999999999998E-4</v>
      </c>
      <c r="BX1066" s="63">
        <v>8.9999999999999998E-4</v>
      </c>
      <c r="BY1066" s="63">
        <v>8.9999999999999998E-4</v>
      </c>
      <c r="BZ1066" s="63">
        <v>1.2999999999999999E-3</v>
      </c>
      <c r="CA1066" s="63">
        <v>1.6999999999999999E-3</v>
      </c>
      <c r="CB1066" s="63">
        <v>2.0999999999999999E-3</v>
      </c>
      <c r="CH1066" s="51"/>
    </row>
    <row r="1067" spans="1:86" x14ac:dyDescent="0.2">
      <c r="A1067" s="3" t="s">
        <v>36</v>
      </c>
      <c r="B1067" s="39">
        <v>950</v>
      </c>
      <c r="C1067" s="82"/>
      <c r="R1067" s="1"/>
      <c r="S1067" s="1"/>
      <c r="T1067" s="1"/>
      <c r="U1067" s="1"/>
      <c r="V1067" s="1"/>
      <c r="W1067" s="5"/>
      <c r="X1067" s="1"/>
      <c r="Y1067" s="1"/>
      <c r="Z1067" s="1"/>
      <c r="AB1067" s="5"/>
      <c r="AK1067" s="5"/>
      <c r="AQ1067" s="5"/>
      <c r="AU1067" s="5"/>
      <c r="BB1067" s="5"/>
      <c r="BD1067" s="5"/>
      <c r="BG1067" s="10">
        <f>3.34/1000</f>
        <v>3.3399999999999997E-3</v>
      </c>
      <c r="BK1067" s="5"/>
      <c r="BL1067" s="10">
        <f>6.42/1000</f>
        <v>6.4200000000000004E-3</v>
      </c>
      <c r="BP1067"/>
      <c r="BR1067"/>
      <c r="BS1067"/>
      <c r="BU1067" s="5"/>
      <c r="CH1067" s="44"/>
    </row>
    <row r="1068" spans="1:86" x14ac:dyDescent="0.2">
      <c r="A1068" s="3" t="s">
        <v>36</v>
      </c>
      <c r="B1068" s="39">
        <v>951</v>
      </c>
      <c r="C1068" s="82"/>
      <c r="R1068" s="1"/>
      <c r="S1068" s="1"/>
      <c r="T1068" s="1"/>
      <c r="U1068" s="1"/>
      <c r="V1068" s="1"/>
      <c r="W1068" s="5"/>
      <c r="X1068" s="1"/>
      <c r="Y1068" s="1"/>
      <c r="Z1068" s="1"/>
      <c r="AB1068" s="5"/>
      <c r="AK1068" s="5"/>
      <c r="AQ1068" s="5"/>
      <c r="AU1068" s="5"/>
      <c r="BB1068" s="5"/>
      <c r="BD1068" s="5"/>
      <c r="BG1068" s="18">
        <f>99.714/100000</f>
        <v>9.9714000000000009E-4</v>
      </c>
      <c r="BH1068" s="18">
        <f>103.39/100000</f>
        <v>1.0338999999999999E-3</v>
      </c>
      <c r="BI1068" s="18">
        <f>95.443/100000</f>
        <v>9.5442999999999993E-4</v>
      </c>
      <c r="BJ1068" s="18">
        <f>98.294/100000</f>
        <v>9.8294000000000007E-4</v>
      </c>
      <c r="BK1068" s="18">
        <f>89.827/100000</f>
        <v>8.9826999999999995E-4</v>
      </c>
      <c r="BL1068" s="18">
        <f>100.79/100000</f>
        <v>1.0079000000000002E-3</v>
      </c>
      <c r="BM1068" s="18">
        <f>97.761/100000</f>
        <v>9.7760999999999985E-4</v>
      </c>
      <c r="BN1068" s="18">
        <f>86.764/100000</f>
        <v>8.6763999999999993E-4</v>
      </c>
      <c r="BO1068" s="18">
        <f>87.382/100000</f>
        <v>8.7382000000000009E-4</v>
      </c>
      <c r="BP1068" s="18">
        <f>74.719/100000</f>
        <v>7.471899999999999E-4</v>
      </c>
      <c r="BR1068"/>
      <c r="BS1068"/>
      <c r="BU1068" s="5"/>
      <c r="CH1068" s="44"/>
    </row>
    <row r="1069" spans="1:86" x14ac:dyDescent="0.2">
      <c r="A1069" s="3" t="s">
        <v>36</v>
      </c>
      <c r="B1069" s="39">
        <v>952</v>
      </c>
      <c r="C1069" s="82"/>
      <c r="R1069" s="1"/>
      <c r="S1069" s="1"/>
      <c r="T1069" s="1"/>
      <c r="U1069" s="1"/>
      <c r="V1069" s="1"/>
      <c r="W1069" s="5"/>
      <c r="X1069" s="1"/>
      <c r="Y1069" s="1"/>
      <c r="Z1069" s="1"/>
      <c r="AB1069" s="5"/>
      <c r="AK1069" s="5"/>
      <c r="AQ1069" s="5"/>
      <c r="AU1069" s="5"/>
      <c r="BA1069" s="18">
        <v>3.8999999999999998E-3</v>
      </c>
      <c r="BB1069" s="5"/>
      <c r="BD1069" s="5"/>
      <c r="BG1069" s="18"/>
      <c r="BH1069" s="18"/>
      <c r="BI1069" s="18"/>
      <c r="BJ1069" s="18"/>
      <c r="BK1069" s="18">
        <v>5.7000000000000002E-3</v>
      </c>
      <c r="BL1069" s="18"/>
      <c r="BM1069" s="18"/>
      <c r="BN1069" s="18"/>
      <c r="BO1069" s="18"/>
      <c r="BP1069" s="18"/>
      <c r="BR1069"/>
      <c r="BS1069"/>
      <c r="BU1069" s="18">
        <v>8.3000000000000001E-3</v>
      </c>
      <c r="CH1069" s="44"/>
    </row>
    <row r="1070" spans="1:86" x14ac:dyDescent="0.2">
      <c r="A1070" s="3" t="s">
        <v>36</v>
      </c>
      <c r="B1070" s="39">
        <v>952</v>
      </c>
      <c r="C1070" s="82"/>
      <c r="R1070" s="1"/>
      <c r="S1070" s="1"/>
      <c r="T1070" s="1"/>
      <c r="U1070" s="1"/>
      <c r="V1070" s="1"/>
      <c r="W1070" s="5"/>
      <c r="X1070" s="1"/>
      <c r="Y1070" s="1"/>
      <c r="Z1070" s="1"/>
      <c r="AB1070" s="5"/>
      <c r="AK1070" s="5"/>
      <c r="AQ1070" s="5"/>
      <c r="AU1070" s="5"/>
      <c r="BA1070" s="18">
        <v>3.7000000000000002E-3</v>
      </c>
      <c r="BB1070" s="5"/>
      <c r="BD1070" s="5"/>
      <c r="BG1070" s="18"/>
      <c r="BH1070" s="18"/>
      <c r="BI1070" s="18"/>
      <c r="BJ1070" s="18"/>
      <c r="BK1070" s="18">
        <v>4.3E-3</v>
      </c>
      <c r="BL1070" s="18"/>
      <c r="BM1070" s="18"/>
      <c r="BN1070" s="18"/>
      <c r="BO1070" s="18"/>
      <c r="BP1070" s="18"/>
      <c r="BR1070"/>
      <c r="BS1070"/>
      <c r="BU1070" s="18">
        <v>5.0000000000000001E-3</v>
      </c>
      <c r="CH1070" s="44"/>
    </row>
    <row r="1071" spans="1:86" x14ac:dyDescent="0.2">
      <c r="A1071" s="3" t="s">
        <v>36</v>
      </c>
      <c r="B1071" s="39">
        <v>953</v>
      </c>
      <c r="C1071" s="82"/>
      <c r="R1071" s="1"/>
      <c r="S1071" s="1"/>
      <c r="T1071" s="1"/>
      <c r="U1071" s="1"/>
      <c r="V1071" s="1"/>
      <c r="W1071" s="5"/>
      <c r="X1071" s="1"/>
      <c r="Y1071" s="1"/>
      <c r="Z1071" s="1"/>
      <c r="AB1071" s="5"/>
      <c r="AK1071" s="5"/>
      <c r="AQ1071" s="5"/>
      <c r="AU1071" s="5"/>
      <c r="BA1071" s="18"/>
      <c r="BB1071" s="5"/>
      <c r="BD1071" s="5"/>
      <c r="BG1071" s="18"/>
      <c r="BH1071" s="18"/>
      <c r="BI1071" s="18"/>
      <c r="BJ1071" s="18"/>
      <c r="BK1071" s="18"/>
      <c r="BL1071" s="18"/>
      <c r="BM1071" s="18"/>
      <c r="BN1071" s="18"/>
      <c r="BO1071" s="18"/>
      <c r="BP1071" s="18"/>
      <c r="BR1071"/>
      <c r="BS1071"/>
      <c r="BU1071" s="18"/>
      <c r="BV1071" s="18">
        <v>6.3E-3</v>
      </c>
      <c r="BW1071" s="18">
        <v>7.3000000000000001E-3</v>
      </c>
      <c r="BX1071" s="18">
        <v>8.0999999999999996E-3</v>
      </c>
      <c r="BY1071" s="18">
        <v>9.1999999999999998E-3</v>
      </c>
      <c r="BZ1071" s="18">
        <v>9.4000000000000004E-3</v>
      </c>
      <c r="CH1071" s="44"/>
    </row>
    <row r="1072" spans="1:86" x14ac:dyDescent="0.2">
      <c r="A1072" s="3" t="s">
        <v>36</v>
      </c>
      <c r="B1072" s="39">
        <v>954</v>
      </c>
      <c r="C1072" s="82"/>
      <c r="R1072" s="1"/>
      <c r="S1072" s="1"/>
      <c r="T1072" s="1"/>
      <c r="U1072" s="1"/>
      <c r="V1072" s="1"/>
      <c r="W1072" s="5"/>
      <c r="X1072" s="1"/>
      <c r="Y1072" s="1"/>
      <c r="Z1072" s="1"/>
      <c r="AB1072" s="5"/>
      <c r="AK1072" s="5"/>
      <c r="AQ1072" s="5"/>
      <c r="AU1072" s="5"/>
      <c r="BA1072" s="18"/>
      <c r="BB1072" s="5"/>
      <c r="BD1072" s="5"/>
      <c r="BG1072" s="18"/>
      <c r="BH1072" s="18"/>
      <c r="BI1072" s="18"/>
      <c r="BJ1072" s="18"/>
      <c r="BK1072" s="18"/>
      <c r="BL1072" s="18"/>
      <c r="BM1072" s="18"/>
      <c r="BN1072" s="18"/>
      <c r="BO1072" s="18"/>
      <c r="BP1072" s="18"/>
      <c r="BR1072"/>
      <c r="BS1072" s="18">
        <v>3.3E-3</v>
      </c>
      <c r="BT1072" s="18">
        <v>3.3E-3</v>
      </c>
      <c r="BU1072" s="18">
        <v>3.3E-3</v>
      </c>
      <c r="BV1072" s="18">
        <v>3.3999999999999998E-3</v>
      </c>
      <c r="BW1072" s="18">
        <v>3.3999999999999998E-3</v>
      </c>
      <c r="BX1072" s="18">
        <v>3.5000000000000001E-3</v>
      </c>
      <c r="BY1072" s="18">
        <v>3.5000000000000001E-3</v>
      </c>
      <c r="BZ1072" s="18">
        <v>3.5000000000000001E-3</v>
      </c>
      <c r="CA1072" s="18">
        <v>3.5000000000000001E-3</v>
      </c>
      <c r="CB1072" s="18">
        <v>3.5999999999999999E-3</v>
      </c>
      <c r="CH1072" s="44"/>
    </row>
    <row r="1073" spans="1:86" x14ac:dyDescent="0.2">
      <c r="A1073" s="3" t="s">
        <v>36</v>
      </c>
      <c r="B1073" s="39">
        <v>955</v>
      </c>
      <c r="C1073" s="82"/>
      <c r="R1073" s="1"/>
      <c r="S1073" s="1"/>
      <c r="T1073" s="1"/>
      <c r="U1073" s="1"/>
      <c r="V1073" s="1"/>
      <c r="W1073" s="5"/>
      <c r="X1073" s="1"/>
      <c r="Y1073" s="1"/>
      <c r="Z1073" s="1"/>
      <c r="AB1073" s="5"/>
      <c r="AK1073" s="5"/>
      <c r="AQ1073" s="5"/>
      <c r="AU1073" s="5"/>
      <c r="BA1073" s="18"/>
      <c r="BB1073" s="5"/>
      <c r="BD1073" s="5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R1073"/>
      <c r="BS1073" s="18"/>
      <c r="BT1073" s="18"/>
      <c r="BU1073" s="18">
        <v>4.0000000000000001E-3</v>
      </c>
      <c r="BV1073" s="18">
        <v>4.1000000000000003E-3</v>
      </c>
      <c r="BW1073" s="18">
        <v>4.4000000000000003E-3</v>
      </c>
      <c r="BX1073" s="18">
        <v>4.4999999999999997E-3</v>
      </c>
      <c r="BY1073" s="18">
        <v>4.7000000000000002E-3</v>
      </c>
      <c r="BZ1073" s="18">
        <v>5.0000000000000001E-3</v>
      </c>
      <c r="CA1073" s="18"/>
      <c r="CB1073" s="18"/>
      <c r="CH1073" s="44"/>
    </row>
    <row r="1074" spans="1:86" x14ac:dyDescent="0.2">
      <c r="A1074" s="3" t="s">
        <v>36</v>
      </c>
      <c r="B1074" s="39">
        <v>956</v>
      </c>
      <c r="C1074" s="82"/>
      <c r="R1074" s="1"/>
      <c r="S1074" s="1"/>
      <c r="T1074" s="1"/>
      <c r="U1074" s="1"/>
      <c r="V1074" s="1"/>
      <c r="W1074" s="5"/>
      <c r="X1074" s="1"/>
      <c r="Y1074" s="1"/>
      <c r="Z1074" s="1"/>
      <c r="AB1074" s="5"/>
      <c r="AK1074" s="5"/>
      <c r="AQ1074" s="5"/>
      <c r="AU1074" s="5"/>
      <c r="BA1074" s="18"/>
      <c r="BB1074" s="5"/>
      <c r="BD1074" s="5"/>
      <c r="BG1074" s="18"/>
      <c r="BH1074" s="18"/>
      <c r="BI1074" s="18"/>
      <c r="BJ1074" s="18"/>
      <c r="BK1074" s="18"/>
      <c r="BL1074" s="18"/>
      <c r="BM1074" s="18"/>
      <c r="BN1074" s="18"/>
      <c r="BO1074" s="18"/>
      <c r="BP1074" s="18"/>
      <c r="BR1074"/>
      <c r="BS1074" s="18">
        <v>6.0000000000000001E-3</v>
      </c>
      <c r="BT1074" s="18"/>
      <c r="BU1074" s="18"/>
      <c r="BV1074" s="18"/>
      <c r="BW1074" s="18"/>
      <c r="BX1074" s="18"/>
      <c r="BY1074" s="18"/>
      <c r="BZ1074" s="18"/>
      <c r="CA1074" s="18"/>
      <c r="CB1074" s="18">
        <v>0.01</v>
      </c>
      <c r="CH1074" s="44"/>
    </row>
    <row r="1075" spans="1:86" x14ac:dyDescent="0.2">
      <c r="A1075" s="3" t="s">
        <v>36</v>
      </c>
      <c r="B1075" s="39">
        <v>852</v>
      </c>
      <c r="C1075" s="82"/>
      <c r="R1075" s="1"/>
      <c r="S1075" s="1"/>
      <c r="T1075" s="1"/>
      <c r="U1075" s="1"/>
      <c r="V1075" s="1"/>
      <c r="W1075" s="5"/>
      <c r="X1075" s="1"/>
      <c r="Y1075" s="1"/>
      <c r="Z1075" s="1"/>
      <c r="AB1075" s="5"/>
      <c r="AK1075" s="5"/>
      <c r="AQ1075" s="5"/>
      <c r="AU1075" s="5"/>
      <c r="BA1075" s="18"/>
      <c r="BB1075" s="5"/>
      <c r="BD1075" s="5"/>
      <c r="BG1075" s="18">
        <v>1.2999999999999999E-4</v>
      </c>
      <c r="BH1075" s="18"/>
      <c r="BI1075" s="18"/>
      <c r="BJ1075" s="18"/>
      <c r="BK1075" s="18"/>
      <c r="BL1075" s="18"/>
      <c r="BM1075" s="18"/>
      <c r="BN1075" s="18"/>
      <c r="BO1075" s="18"/>
      <c r="BP1075" s="18"/>
      <c r="BQ1075" s="18">
        <v>1.8000000000000001E-4</v>
      </c>
      <c r="BR1075"/>
      <c r="BS1075" s="18"/>
      <c r="BT1075" s="18"/>
      <c r="BU1075" s="18"/>
      <c r="BV1075" s="18"/>
      <c r="BW1075" s="18"/>
      <c r="BX1075" s="18"/>
      <c r="BY1075" s="18"/>
      <c r="BZ1075" s="18"/>
      <c r="CA1075" s="18"/>
      <c r="CB1075" s="18"/>
      <c r="CH1075" s="44"/>
    </row>
    <row r="1076" spans="1:86" x14ac:dyDescent="0.2">
      <c r="A1076" s="3" t="s">
        <v>36</v>
      </c>
      <c r="B1076" s="39">
        <v>852</v>
      </c>
      <c r="C1076" s="82"/>
      <c r="R1076" s="1"/>
      <c r="S1076" s="1"/>
      <c r="T1076" s="1"/>
      <c r="U1076" s="1"/>
      <c r="V1076" s="1"/>
      <c r="W1076" s="5"/>
      <c r="X1076" s="1"/>
      <c r="Y1076" s="1"/>
      <c r="Z1076" s="1"/>
      <c r="AB1076" s="5"/>
      <c r="AK1076" s="5"/>
      <c r="AQ1076" s="5"/>
      <c r="AU1076" s="5"/>
      <c r="BA1076" s="18"/>
      <c r="BB1076" s="5"/>
      <c r="BD1076" s="5"/>
      <c r="BG1076" s="18">
        <v>6.0000000000000001E-3</v>
      </c>
      <c r="BH1076" s="18"/>
      <c r="BI1076" s="18"/>
      <c r="BJ1076" s="18"/>
      <c r="BK1076" s="18"/>
      <c r="BL1076" s="18"/>
      <c r="BM1076" s="18"/>
      <c r="BN1076" s="18"/>
      <c r="BO1076" s="18"/>
      <c r="BP1076" s="18"/>
      <c r="BQ1076" s="18">
        <v>6.0000000000000001E-3</v>
      </c>
      <c r="BR1076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H1076" s="44"/>
    </row>
    <row r="1077" spans="1:86" s="46" customFormat="1" x14ac:dyDescent="0.2">
      <c r="A1077" s="38" t="s">
        <v>36</v>
      </c>
      <c r="B1077" s="40">
        <v>91</v>
      </c>
      <c r="C1077" s="83"/>
      <c r="R1077" s="53"/>
      <c r="S1077" s="53"/>
      <c r="T1077" s="53"/>
      <c r="U1077" s="53"/>
      <c r="V1077" s="53"/>
      <c r="W1077" s="48"/>
      <c r="X1077" s="53"/>
      <c r="Y1077" s="53"/>
      <c r="Z1077" s="53"/>
      <c r="AB1077" s="48"/>
      <c r="AK1077" s="48"/>
      <c r="AQ1077" s="48"/>
      <c r="AU1077" s="48"/>
      <c r="BA1077" s="68"/>
      <c r="BB1077" s="48"/>
      <c r="BD1077" s="48"/>
      <c r="BG1077" s="68"/>
      <c r="BH1077" s="68"/>
      <c r="BI1077" s="68"/>
      <c r="BJ1077" s="68"/>
      <c r="BK1077" s="68"/>
      <c r="BL1077" s="68"/>
      <c r="BM1077" s="68"/>
      <c r="BN1077" s="68"/>
      <c r="BO1077" s="68"/>
      <c r="BP1077" s="68"/>
      <c r="BQ1077" s="68"/>
      <c r="BS1077" s="68"/>
      <c r="BT1077" s="68"/>
      <c r="BU1077" s="68"/>
      <c r="BV1077" s="68"/>
      <c r="BW1077" s="68">
        <v>0</v>
      </c>
      <c r="BX1077" s="68">
        <v>1E-4</v>
      </c>
      <c r="BY1077" s="68">
        <v>1E-4</v>
      </c>
      <c r="BZ1077" s="68">
        <v>1E-4</v>
      </c>
      <c r="CA1077" s="68">
        <v>2.0000000000000001E-4</v>
      </c>
      <c r="CB1077" s="68">
        <v>1E-4</v>
      </c>
      <c r="CC1077" s="68">
        <v>0</v>
      </c>
      <c r="CH1077" s="51"/>
    </row>
    <row r="1078" spans="1:86" x14ac:dyDescent="0.2">
      <c r="A1078" s="3" t="s">
        <v>37</v>
      </c>
      <c r="B1078" s="39">
        <v>957</v>
      </c>
      <c r="C1078" s="82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>
        <f>23/100000</f>
        <v>2.3000000000000001E-4</v>
      </c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>
        <f>21.9/100000</f>
        <v>2.1899999999999998E-4</v>
      </c>
      <c r="AE1078" s="30"/>
      <c r="AF1078" s="30"/>
      <c r="AG1078" s="30"/>
      <c r="AH1078" s="30"/>
      <c r="AI1078" s="30"/>
      <c r="AJ1078" s="30"/>
      <c r="AK1078" s="30">
        <f>23.6/100000</f>
        <v>2.3600000000000002E-4</v>
      </c>
      <c r="AL1078" s="30"/>
      <c r="AM1078" s="30"/>
      <c r="AN1078" s="30"/>
      <c r="AO1078" s="30"/>
      <c r="AP1078" s="30"/>
      <c r="AQ1078" s="30"/>
      <c r="AR1078" s="30"/>
      <c r="AS1078" s="30"/>
      <c r="AT1078" s="30"/>
      <c r="AU1078" s="30">
        <f>28/100000</f>
        <v>2.7999999999999998E-4</v>
      </c>
      <c r="AV1078" s="30"/>
      <c r="AW1078" s="30"/>
      <c r="AX1078" s="30"/>
      <c r="AY1078" s="30">
        <f>25/100000</f>
        <v>2.5000000000000001E-4</v>
      </c>
      <c r="AZ1078" s="30"/>
      <c r="BA1078" s="30"/>
      <c r="BB1078" s="30"/>
      <c r="BC1078" s="30"/>
      <c r="BD1078" s="30"/>
      <c r="BE1078" s="30"/>
      <c r="BF1078" s="30"/>
      <c r="BG1078" s="30"/>
      <c r="BH1078" s="30"/>
      <c r="BI1078" s="30"/>
      <c r="BJ1078" s="30"/>
      <c r="BK1078" s="30"/>
      <c r="BL1078" s="30"/>
      <c r="BM1078" s="30"/>
      <c r="BN1078" s="30"/>
      <c r="BO1078" s="30"/>
      <c r="BP1078" s="30"/>
      <c r="BQ1078" s="30"/>
      <c r="BR1078" s="30"/>
      <c r="BS1078" s="30"/>
      <c r="BT1078" s="30"/>
      <c r="BU1078" s="30"/>
      <c r="BV1078" s="30"/>
      <c r="BW1078" s="30"/>
      <c r="BX1078" s="30"/>
      <c r="BY1078" s="30"/>
      <c r="BZ1078" s="30"/>
      <c r="CA1078" s="30"/>
      <c r="CB1078" s="30"/>
      <c r="CC1078" s="30"/>
      <c r="CD1078" s="30"/>
      <c r="CE1078" s="30"/>
      <c r="CF1078" s="30"/>
      <c r="CG1078" s="30"/>
      <c r="CH1078" s="74"/>
    </row>
    <row r="1079" spans="1:86" x14ac:dyDescent="0.2">
      <c r="A1079" s="3" t="s">
        <v>37</v>
      </c>
      <c r="B1079" s="39">
        <v>957</v>
      </c>
      <c r="C1079" s="82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>
        <f>13.6/100000</f>
        <v>1.36E-4</v>
      </c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>
        <f>14.1/100000</f>
        <v>1.4099999999999998E-4</v>
      </c>
      <c r="AE1079" s="30"/>
      <c r="AF1079" s="30"/>
      <c r="AG1079" s="30"/>
      <c r="AH1079" s="30"/>
      <c r="AI1079" s="30"/>
      <c r="AJ1079" s="30"/>
      <c r="AK1079" s="30">
        <f>15.5/100000</f>
        <v>1.55E-4</v>
      </c>
      <c r="AL1079" s="30"/>
      <c r="AM1079" s="30"/>
      <c r="AN1079" s="30"/>
      <c r="AO1079" s="30"/>
      <c r="AP1079" s="30"/>
      <c r="AQ1079" s="30"/>
      <c r="AR1079" s="30"/>
      <c r="AS1079" s="30"/>
      <c r="AT1079" s="30"/>
      <c r="AU1079" s="30">
        <f>23/100000</f>
        <v>2.3000000000000001E-4</v>
      </c>
      <c r="AV1079" s="30"/>
      <c r="AW1079" s="30"/>
      <c r="AX1079" s="30"/>
      <c r="AY1079" s="30">
        <f>22.5/100000</f>
        <v>2.2499999999999999E-4</v>
      </c>
      <c r="AZ1079" s="30"/>
      <c r="BA1079" s="30"/>
      <c r="BB1079" s="30"/>
      <c r="BC1079" s="30"/>
      <c r="BD1079" s="30"/>
      <c r="BE1079" s="30"/>
      <c r="BF1079" s="30"/>
      <c r="BG1079" s="30"/>
      <c r="BH1079" s="30"/>
      <c r="BI1079" s="30"/>
      <c r="BJ1079" s="30"/>
      <c r="BK1079" s="30"/>
      <c r="BL1079" s="30"/>
      <c r="BM1079" s="30"/>
      <c r="BN1079" s="30"/>
      <c r="BO1079" s="30"/>
      <c r="BP1079" s="30"/>
      <c r="BQ1079" s="30"/>
      <c r="BR1079" s="30"/>
      <c r="BS1079" s="30"/>
      <c r="BT1079" s="30"/>
      <c r="BU1079" s="30"/>
      <c r="BV1079" s="30"/>
      <c r="BW1079" s="30"/>
      <c r="BX1079" s="30"/>
      <c r="BY1079" s="30"/>
      <c r="BZ1079" s="30"/>
      <c r="CA1079" s="30"/>
      <c r="CB1079" s="30"/>
      <c r="CC1079" s="30"/>
      <c r="CD1079" s="30"/>
      <c r="CE1079" s="30"/>
      <c r="CF1079" s="30"/>
      <c r="CG1079" s="30"/>
      <c r="CH1079" s="74"/>
    </row>
    <row r="1080" spans="1:86" x14ac:dyDescent="0.2">
      <c r="A1080" s="3" t="s">
        <v>37</v>
      </c>
      <c r="B1080" s="39">
        <v>957</v>
      </c>
      <c r="C1080" s="82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>
        <f>23.5/100000</f>
        <v>2.3499999999999999E-4</v>
      </c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>
        <f>18.3/100000</f>
        <v>1.83E-4</v>
      </c>
      <c r="AE1080" s="30"/>
      <c r="AF1080" s="30"/>
      <c r="AG1080" s="30"/>
      <c r="AH1080" s="30"/>
      <c r="AI1080" s="30"/>
      <c r="AJ1080" s="30"/>
      <c r="AK1080" s="30">
        <f>24.6/100000</f>
        <v>2.4600000000000002E-4</v>
      </c>
      <c r="AL1080" s="30"/>
      <c r="AM1080" s="30"/>
      <c r="AN1080" s="30"/>
      <c r="AO1080" s="30"/>
      <c r="AP1080" s="30"/>
      <c r="AQ1080" s="30"/>
      <c r="AR1080" s="30"/>
      <c r="AS1080" s="30"/>
      <c r="AT1080" s="30"/>
      <c r="AU1080" s="30">
        <f>28.9/100000</f>
        <v>2.8899999999999998E-4</v>
      </c>
      <c r="AV1080" s="30"/>
      <c r="AW1080" s="30"/>
      <c r="AX1080" s="30"/>
      <c r="AY1080" s="30">
        <f>28/100000</f>
        <v>2.7999999999999998E-4</v>
      </c>
      <c r="AZ1080" s="30"/>
      <c r="BA1080" s="30"/>
      <c r="BB1080" s="30"/>
      <c r="BC1080" s="30"/>
      <c r="BD1080" s="30"/>
      <c r="BE1080" s="30"/>
      <c r="BF1080" s="30"/>
      <c r="BG1080" s="30"/>
      <c r="BH1080" s="30"/>
      <c r="BI1080" s="30"/>
      <c r="BJ1080" s="30"/>
      <c r="BK1080" s="30"/>
      <c r="BL1080" s="30"/>
      <c r="BM1080" s="30"/>
      <c r="BN1080" s="30"/>
      <c r="BO1080" s="30"/>
      <c r="BP1080" s="30"/>
      <c r="BQ1080" s="30"/>
      <c r="BR1080" s="30"/>
      <c r="BS1080" s="30"/>
      <c r="BT1080" s="30"/>
      <c r="BU1080" s="30"/>
      <c r="BV1080" s="30"/>
      <c r="BW1080" s="30"/>
      <c r="BX1080" s="30"/>
      <c r="BY1080" s="30"/>
      <c r="BZ1080" s="30"/>
      <c r="CA1080" s="30"/>
      <c r="CB1080" s="30"/>
      <c r="CC1080" s="30"/>
      <c r="CD1080" s="30"/>
      <c r="CE1080" s="30"/>
      <c r="CF1080" s="30"/>
      <c r="CG1080" s="30"/>
      <c r="CH1080" s="74"/>
    </row>
    <row r="1081" spans="1:86" x14ac:dyDescent="0.2">
      <c r="A1081" s="3" t="s">
        <v>37</v>
      </c>
      <c r="B1081" s="39">
        <v>957</v>
      </c>
      <c r="C1081" s="82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>
        <f>17.4/100000</f>
        <v>1.7399999999999997E-4</v>
      </c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>
        <f>20.7/100000</f>
        <v>2.0699999999999999E-4</v>
      </c>
      <c r="AE1081" s="30"/>
      <c r="AF1081" s="30"/>
      <c r="AG1081" s="30"/>
      <c r="AH1081" s="30"/>
      <c r="AI1081" s="30"/>
      <c r="AJ1081" s="30"/>
      <c r="AK1081" s="30">
        <f>24.2/100000</f>
        <v>2.42E-4</v>
      </c>
      <c r="AL1081" s="30"/>
      <c r="AM1081" s="30"/>
      <c r="AN1081" s="30"/>
      <c r="AO1081" s="30"/>
      <c r="AP1081" s="30"/>
      <c r="AQ1081" s="30"/>
      <c r="AR1081" s="30"/>
      <c r="AS1081" s="30"/>
      <c r="AT1081" s="30"/>
      <c r="AU1081" s="30">
        <f>24.6/100000</f>
        <v>2.4600000000000002E-4</v>
      </c>
      <c r="AV1081" s="30"/>
      <c r="AW1081" s="30"/>
      <c r="AX1081" s="30"/>
      <c r="AY1081" s="30">
        <f>27.6/100000</f>
        <v>2.7600000000000004E-4</v>
      </c>
      <c r="AZ1081" s="30"/>
      <c r="BA1081" s="30"/>
      <c r="BB1081" s="30"/>
      <c r="BC1081" s="30"/>
      <c r="BD1081" s="30"/>
      <c r="BE1081" s="30"/>
      <c r="BF1081" s="30"/>
      <c r="BG1081" s="30"/>
      <c r="BH1081" s="30"/>
      <c r="BI1081" s="30"/>
      <c r="BJ1081" s="30"/>
      <c r="BK1081" s="30"/>
      <c r="BL1081" s="30"/>
      <c r="BM1081" s="30"/>
      <c r="BN1081" s="30"/>
      <c r="BO1081" s="30"/>
      <c r="BP1081" s="30"/>
      <c r="BQ1081" s="30"/>
      <c r="BR1081" s="30"/>
      <c r="BS1081" s="30"/>
      <c r="BT1081" s="30"/>
      <c r="BU1081" s="30"/>
      <c r="BV1081" s="30"/>
      <c r="BW1081" s="30"/>
      <c r="BX1081" s="30"/>
      <c r="BY1081" s="30"/>
      <c r="BZ1081" s="30"/>
      <c r="CA1081" s="30"/>
      <c r="CB1081" s="30"/>
      <c r="CC1081" s="30"/>
      <c r="CD1081" s="30"/>
      <c r="CE1081" s="30"/>
      <c r="CF1081" s="30"/>
      <c r="CG1081" s="30"/>
      <c r="CH1081" s="74"/>
    </row>
    <row r="1082" spans="1:86" x14ac:dyDescent="0.2">
      <c r="A1082" s="3" t="s">
        <v>37</v>
      </c>
      <c r="B1082" s="39">
        <v>957</v>
      </c>
      <c r="C1082" s="82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>
        <f>15.5/100000</f>
        <v>1.55E-4</v>
      </c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>
        <f>15.5/100000</f>
        <v>1.55E-4</v>
      </c>
      <c r="AE1082" s="30"/>
      <c r="AF1082" s="30"/>
      <c r="AG1082" s="30"/>
      <c r="AH1082" s="30"/>
      <c r="AI1082" s="30"/>
      <c r="AJ1082" s="30"/>
      <c r="AK1082" s="30">
        <f>15.8/100000</f>
        <v>1.5800000000000002E-4</v>
      </c>
      <c r="AL1082" s="30"/>
      <c r="AM1082" s="30"/>
      <c r="AN1082" s="30"/>
      <c r="AO1082" s="30"/>
      <c r="AP1082" s="30"/>
      <c r="AQ1082" s="30"/>
      <c r="AR1082" s="30"/>
      <c r="AS1082" s="30"/>
      <c r="AT1082" s="30"/>
      <c r="AU1082" s="30">
        <f>21.8/100000</f>
        <v>2.1800000000000001E-4</v>
      </c>
      <c r="AV1082" s="30"/>
      <c r="AW1082" s="30"/>
      <c r="AX1082" s="30"/>
      <c r="AY1082" s="30">
        <f>22.1/100000</f>
        <v>2.2100000000000001E-4</v>
      </c>
      <c r="AZ1082" s="30"/>
      <c r="BA1082" s="30"/>
      <c r="BB1082" s="30"/>
      <c r="BC1082" s="30"/>
      <c r="BD1082" s="30"/>
      <c r="BE1082" s="30"/>
      <c r="BF1082" s="30"/>
      <c r="BG1082" s="30"/>
      <c r="BH1082" s="30"/>
      <c r="BI1082" s="30"/>
      <c r="BJ1082" s="30"/>
      <c r="BK1082" s="30"/>
      <c r="BL1082" s="30"/>
      <c r="BM1082" s="30"/>
      <c r="BN1082" s="30"/>
      <c r="BO1082" s="30"/>
      <c r="BP1082" s="30"/>
      <c r="BQ1082" s="30"/>
      <c r="BR1082" s="30"/>
      <c r="BS1082" s="30"/>
      <c r="BT1082" s="30"/>
      <c r="BU1082" s="30"/>
      <c r="BV1082" s="30"/>
      <c r="BW1082" s="30"/>
      <c r="BX1082" s="30"/>
      <c r="BY1082" s="30"/>
      <c r="BZ1082" s="30"/>
      <c r="CA1082" s="30"/>
      <c r="CB1082" s="30"/>
      <c r="CC1082" s="30"/>
      <c r="CD1082" s="30"/>
      <c r="CE1082" s="30"/>
      <c r="CF1082" s="30"/>
      <c r="CG1082" s="30"/>
      <c r="CH1082" s="74"/>
    </row>
    <row r="1083" spans="1:86" x14ac:dyDescent="0.2">
      <c r="A1083" s="3" t="s">
        <v>37</v>
      </c>
      <c r="B1083" s="39">
        <v>957</v>
      </c>
      <c r="C1083" s="82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>
        <f>18.6/100000</f>
        <v>1.8600000000000002E-4</v>
      </c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>
        <f>18.9/100000</f>
        <v>1.8899999999999999E-4</v>
      </c>
      <c r="AE1083" s="30"/>
      <c r="AF1083" s="30"/>
      <c r="AG1083" s="30"/>
      <c r="AH1083" s="30"/>
      <c r="AI1083" s="30"/>
      <c r="AJ1083" s="30"/>
      <c r="AK1083" s="30">
        <f>20.6/100000</f>
        <v>2.0600000000000002E-4</v>
      </c>
      <c r="AL1083" s="30"/>
      <c r="AM1083" s="30"/>
      <c r="AN1083" s="30"/>
      <c r="AO1083" s="30"/>
      <c r="AP1083" s="30"/>
      <c r="AQ1083" s="30"/>
      <c r="AR1083" s="30"/>
      <c r="AS1083" s="30"/>
      <c r="AT1083" s="30"/>
      <c r="AU1083" s="30">
        <f>21.4/100000</f>
        <v>2.14E-4</v>
      </c>
      <c r="AV1083" s="30"/>
      <c r="AW1083" s="30"/>
      <c r="AX1083" s="30"/>
      <c r="AY1083" s="30">
        <f>17.9/100000</f>
        <v>1.7899999999999999E-4</v>
      </c>
      <c r="AZ1083" s="30"/>
      <c r="BA1083" s="30"/>
      <c r="BB1083" s="30"/>
      <c r="BC1083" s="30"/>
      <c r="BD1083" s="30"/>
      <c r="BE1083" s="30"/>
      <c r="BF1083" s="30"/>
      <c r="BG1083" s="30"/>
      <c r="BH1083" s="30"/>
      <c r="BI1083" s="30"/>
      <c r="BJ1083" s="30"/>
      <c r="BK1083" s="30"/>
      <c r="BL1083" s="30"/>
      <c r="BM1083" s="30"/>
      <c r="BN1083" s="30"/>
      <c r="BO1083" s="30"/>
      <c r="BP1083" s="30"/>
      <c r="BQ1083" s="30"/>
      <c r="BR1083" s="30"/>
      <c r="BS1083" s="30"/>
      <c r="BT1083" s="30"/>
      <c r="BU1083" s="30"/>
      <c r="BV1083" s="30"/>
      <c r="BW1083" s="30"/>
      <c r="BX1083" s="30"/>
      <c r="BY1083" s="30"/>
      <c r="BZ1083" s="30"/>
      <c r="CA1083" s="30"/>
      <c r="CB1083" s="30"/>
      <c r="CC1083" s="30"/>
      <c r="CD1083" s="30"/>
      <c r="CE1083" s="30"/>
      <c r="CF1083" s="30"/>
      <c r="CG1083" s="30"/>
      <c r="CH1083" s="74"/>
    </row>
    <row r="1084" spans="1:86" x14ac:dyDescent="0.2">
      <c r="A1084" s="3" t="s">
        <v>37</v>
      </c>
      <c r="B1084" s="39">
        <v>957</v>
      </c>
      <c r="C1084" s="82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>
        <f>2.3/100000</f>
        <v>2.2999999999999997E-5</v>
      </c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>
        <f>2.5/100000</f>
        <v>2.5000000000000001E-5</v>
      </c>
      <c r="AE1084" s="30"/>
      <c r="AF1084" s="30"/>
      <c r="AG1084" s="30"/>
      <c r="AH1084" s="30"/>
      <c r="AI1084" s="30"/>
      <c r="AJ1084" s="30"/>
      <c r="AK1084" s="30">
        <f>3.4/100000</f>
        <v>3.4E-5</v>
      </c>
      <c r="AL1084" s="30"/>
      <c r="AM1084" s="30"/>
      <c r="AN1084" s="30"/>
      <c r="AO1084" s="30"/>
      <c r="AP1084" s="30"/>
      <c r="AQ1084" s="30"/>
      <c r="AR1084" s="30"/>
      <c r="AS1084" s="30"/>
      <c r="AT1084" s="30"/>
      <c r="AU1084" s="30">
        <f>7.5/100000</f>
        <v>7.4999999999999993E-5</v>
      </c>
      <c r="AV1084" s="30"/>
      <c r="AW1084" s="30"/>
      <c r="AX1084" s="30"/>
      <c r="AY1084" s="30">
        <f>6.9/100000</f>
        <v>6.900000000000001E-5</v>
      </c>
      <c r="AZ1084" s="30"/>
      <c r="BA1084" s="30"/>
      <c r="BB1084" s="30"/>
      <c r="BC1084" s="30"/>
      <c r="BD1084" s="30"/>
      <c r="BE1084" s="30"/>
      <c r="BF1084" s="30"/>
      <c r="BG1084" s="30"/>
      <c r="BH1084" s="30"/>
      <c r="BI1084" s="30"/>
      <c r="BJ1084" s="30"/>
      <c r="BK1084" s="30"/>
      <c r="BL1084" s="30"/>
      <c r="BM1084" s="30"/>
      <c r="BN1084" s="30"/>
      <c r="BO1084" s="30"/>
      <c r="BP1084" s="30"/>
      <c r="BQ1084" s="30"/>
      <c r="BR1084" s="30"/>
      <c r="BS1084" s="30"/>
      <c r="BT1084" s="30"/>
      <c r="BU1084" s="30"/>
      <c r="BV1084" s="30"/>
      <c r="BW1084" s="30"/>
      <c r="BX1084" s="30"/>
      <c r="BY1084" s="30"/>
      <c r="BZ1084" s="30"/>
      <c r="CA1084" s="30"/>
      <c r="CB1084" s="30"/>
      <c r="CC1084" s="30"/>
      <c r="CD1084" s="30"/>
      <c r="CE1084" s="30"/>
      <c r="CF1084" s="30"/>
      <c r="CG1084" s="30"/>
      <c r="CH1084" s="74"/>
    </row>
    <row r="1085" spans="1:86" x14ac:dyDescent="0.2">
      <c r="A1085" s="3" t="s">
        <v>37</v>
      </c>
      <c r="B1085" s="39">
        <v>957</v>
      </c>
      <c r="C1085" s="82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>
        <f>6.5/100000</f>
        <v>6.4999999999999994E-5</v>
      </c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>
        <f>5.4/100000</f>
        <v>5.4000000000000005E-5</v>
      </c>
      <c r="AE1085" s="30"/>
      <c r="AF1085" s="30"/>
      <c r="AG1085" s="30"/>
      <c r="AH1085" s="30"/>
      <c r="AI1085" s="30"/>
      <c r="AJ1085" s="30"/>
      <c r="AK1085" s="30">
        <f>5.6/100000</f>
        <v>5.5999999999999999E-5</v>
      </c>
      <c r="AL1085" s="30"/>
      <c r="AM1085" s="30"/>
      <c r="AN1085" s="30"/>
      <c r="AO1085" s="30"/>
      <c r="AP1085" s="30"/>
      <c r="AQ1085" s="30"/>
      <c r="AR1085" s="30"/>
      <c r="AS1085" s="30"/>
      <c r="AT1085" s="30"/>
      <c r="AU1085" s="30">
        <f>5.3/100000</f>
        <v>5.3000000000000001E-5</v>
      </c>
      <c r="AV1085" s="30"/>
      <c r="AW1085" s="30"/>
      <c r="AX1085" s="30"/>
      <c r="AY1085" s="30">
        <f>8.3/100000</f>
        <v>8.3000000000000012E-5</v>
      </c>
      <c r="AZ1085" s="30"/>
      <c r="BA1085" s="30"/>
      <c r="BB1085" s="30"/>
      <c r="BC1085" s="30"/>
      <c r="BD1085" s="30"/>
      <c r="BE1085" s="30"/>
      <c r="BF1085" s="30"/>
      <c r="BG1085" s="30"/>
      <c r="BH1085" s="30"/>
      <c r="BI1085" s="30"/>
      <c r="BJ1085" s="30"/>
      <c r="BK1085" s="30"/>
      <c r="BL1085" s="30"/>
      <c r="BM1085" s="30"/>
      <c r="BN1085" s="30"/>
      <c r="BO1085" s="30"/>
      <c r="BP1085" s="30"/>
      <c r="BQ1085" s="30"/>
      <c r="BR1085" s="30"/>
      <c r="BS1085" s="30"/>
      <c r="BT1085" s="30"/>
      <c r="BU1085" s="30"/>
      <c r="BV1085" s="30"/>
      <c r="BW1085" s="30"/>
      <c r="BX1085" s="30"/>
      <c r="BY1085" s="30"/>
      <c r="BZ1085" s="30"/>
      <c r="CA1085" s="30"/>
      <c r="CB1085" s="30"/>
      <c r="CC1085" s="30"/>
      <c r="CD1085" s="30"/>
      <c r="CE1085" s="30"/>
      <c r="CF1085" s="30"/>
      <c r="CG1085" s="30"/>
      <c r="CH1085" s="74"/>
    </row>
    <row r="1086" spans="1:86" x14ac:dyDescent="0.2">
      <c r="A1086" s="3" t="s">
        <v>37</v>
      </c>
      <c r="B1086" s="39">
        <v>957</v>
      </c>
      <c r="C1086" s="82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>
        <f>6.3/100000</f>
        <v>6.3E-5</v>
      </c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>
        <f>6.5/100000</f>
        <v>6.4999999999999994E-5</v>
      </c>
      <c r="AE1086" s="30"/>
      <c r="AF1086" s="30"/>
      <c r="AG1086" s="30"/>
      <c r="AH1086" s="30"/>
      <c r="AI1086" s="30"/>
      <c r="AJ1086" s="30"/>
      <c r="AK1086" s="30">
        <f>8.7/100000</f>
        <v>8.6999999999999987E-5</v>
      </c>
      <c r="AL1086" s="30"/>
      <c r="AM1086" s="30"/>
      <c r="AN1086" s="30"/>
      <c r="AO1086" s="30"/>
      <c r="AP1086" s="30"/>
      <c r="AQ1086" s="30"/>
      <c r="AR1086" s="30"/>
      <c r="AS1086" s="30"/>
      <c r="AT1086" s="30"/>
      <c r="AU1086" s="30">
        <f>11.6/100000</f>
        <v>1.16E-4</v>
      </c>
      <c r="AV1086" s="30"/>
      <c r="AW1086" s="30"/>
      <c r="AX1086" s="30"/>
      <c r="AY1086" s="30">
        <f>11/100000</f>
        <v>1.1E-4</v>
      </c>
      <c r="AZ1086" s="30"/>
      <c r="BA1086" s="30"/>
      <c r="BB1086" s="30"/>
      <c r="BC1086" s="30"/>
      <c r="BD1086" s="30"/>
      <c r="BE1086" s="30"/>
      <c r="BF1086" s="30"/>
      <c r="BG1086" s="30"/>
      <c r="BH1086" s="30"/>
      <c r="BI1086" s="30"/>
      <c r="BJ1086" s="30"/>
      <c r="BK1086" s="30"/>
      <c r="BL1086" s="30"/>
      <c r="BM1086" s="30"/>
      <c r="BN1086" s="30"/>
      <c r="BO1086" s="30"/>
      <c r="BP1086" s="30"/>
      <c r="BQ1086" s="30"/>
      <c r="BR1086" s="30"/>
      <c r="BS1086" s="30"/>
      <c r="BT1086" s="30"/>
      <c r="BU1086" s="30"/>
      <c r="BV1086" s="30"/>
      <c r="BW1086" s="30"/>
      <c r="BX1086" s="30"/>
      <c r="BY1086" s="30"/>
      <c r="BZ1086" s="30"/>
      <c r="CA1086" s="30"/>
      <c r="CB1086" s="30"/>
      <c r="CC1086" s="30"/>
      <c r="CD1086" s="30"/>
      <c r="CE1086" s="30"/>
      <c r="CF1086" s="30"/>
      <c r="CG1086" s="30"/>
      <c r="CH1086" s="74"/>
    </row>
    <row r="1087" spans="1:86" x14ac:dyDescent="0.2">
      <c r="A1087" s="3" t="s">
        <v>37</v>
      </c>
      <c r="B1087" s="39">
        <v>957</v>
      </c>
      <c r="C1087" s="82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>
        <f>7.1/100000</f>
        <v>7.0999999999999991E-5</v>
      </c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>
        <f>7.5/100000</f>
        <v>7.4999999999999993E-5</v>
      </c>
      <c r="AE1087" s="30"/>
      <c r="AF1087" s="30"/>
      <c r="AG1087" s="30"/>
      <c r="AH1087" s="30"/>
      <c r="AI1087" s="30"/>
      <c r="AJ1087" s="30"/>
      <c r="AK1087" s="30">
        <f>9.4/100000</f>
        <v>9.4000000000000008E-5</v>
      </c>
      <c r="AL1087" s="30"/>
      <c r="AM1087" s="30"/>
      <c r="AN1087" s="30"/>
      <c r="AO1087" s="30"/>
      <c r="AP1087" s="30"/>
      <c r="AQ1087" s="30"/>
      <c r="AR1087" s="30"/>
      <c r="AS1087" s="30"/>
      <c r="AT1087" s="30"/>
      <c r="AU1087" s="30">
        <f>14.4/100000</f>
        <v>1.44E-4</v>
      </c>
      <c r="AV1087" s="30"/>
      <c r="AW1087" s="30"/>
      <c r="AX1087" s="30"/>
      <c r="AY1087" s="30">
        <f>15.5/100000</f>
        <v>1.55E-4</v>
      </c>
      <c r="AZ1087" s="30"/>
      <c r="BA1087" s="30"/>
      <c r="BB1087" s="30"/>
      <c r="BC1087" s="30"/>
      <c r="BD1087" s="30"/>
      <c r="BE1087" s="30"/>
      <c r="BF1087" s="30"/>
      <c r="BG1087" s="30"/>
      <c r="BH1087" s="30"/>
      <c r="BI1087" s="30"/>
      <c r="BJ1087" s="30"/>
      <c r="BK1087" s="30"/>
      <c r="BL1087" s="30"/>
      <c r="BM1087" s="30"/>
      <c r="BN1087" s="30"/>
      <c r="BO1087" s="30"/>
      <c r="BP1087" s="30"/>
      <c r="BQ1087" s="30"/>
      <c r="BR1087" s="30"/>
      <c r="BS1087" s="30"/>
      <c r="BT1087" s="30"/>
      <c r="BU1087" s="30"/>
      <c r="BV1087" s="30"/>
      <c r="BW1087" s="30"/>
      <c r="BX1087" s="30"/>
      <c r="BY1087" s="30"/>
      <c r="BZ1087" s="30"/>
      <c r="CA1087" s="30"/>
      <c r="CB1087" s="30"/>
      <c r="CC1087" s="30"/>
      <c r="CD1087" s="30"/>
      <c r="CE1087" s="30"/>
      <c r="CF1087" s="30"/>
      <c r="CG1087" s="30"/>
      <c r="CH1087" s="74"/>
    </row>
    <row r="1088" spans="1:86" x14ac:dyDescent="0.2">
      <c r="A1088" s="3" t="s">
        <v>37</v>
      </c>
      <c r="B1088" s="39">
        <v>957</v>
      </c>
      <c r="C1088" s="82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>
        <f>10.2/100000</f>
        <v>1.02E-4</v>
      </c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c r="AJ1088" s="30"/>
      <c r="AK1088" s="30">
        <f>8.7/100000</f>
        <v>8.6999999999999987E-5</v>
      </c>
      <c r="AL1088" s="30"/>
      <c r="AM1088" s="30"/>
      <c r="AN1088" s="30"/>
      <c r="AO1088" s="30"/>
      <c r="AP1088" s="30"/>
      <c r="AQ1088" s="30"/>
      <c r="AR1088" s="30"/>
      <c r="AS1088" s="30"/>
      <c r="AT1088" s="30"/>
      <c r="AU1088" s="30">
        <f>10.2/100000</f>
        <v>1.02E-4</v>
      </c>
      <c r="AV1088" s="30"/>
      <c r="AW1088" s="30"/>
      <c r="AX1088" s="30"/>
      <c r="AY1088" s="30">
        <f>8.1/100000</f>
        <v>8.099999999999999E-5</v>
      </c>
      <c r="AZ1088" s="30"/>
      <c r="BA1088" s="30"/>
      <c r="BB1088" s="30"/>
      <c r="BC1088" s="30"/>
      <c r="BD1088" s="30"/>
      <c r="BE1088" s="30"/>
      <c r="BF1088" s="30"/>
      <c r="BG1088" s="30"/>
      <c r="BH1088" s="30"/>
      <c r="BI1088" s="30"/>
      <c r="BJ1088" s="30"/>
      <c r="BK1088" s="30"/>
      <c r="BL1088" s="30"/>
      <c r="BM1088" s="30"/>
      <c r="BN1088" s="30"/>
      <c r="BO1088" s="30"/>
      <c r="BP1088" s="30"/>
      <c r="BQ1088" s="30"/>
      <c r="BR1088" s="30"/>
      <c r="BS1088" s="30"/>
      <c r="BT1088" s="30"/>
      <c r="BU1088" s="30"/>
      <c r="BV1088" s="30"/>
      <c r="BW1088" s="30"/>
      <c r="BX1088" s="30"/>
      <c r="BY1088" s="30"/>
      <c r="BZ1088" s="30"/>
      <c r="CA1088" s="30"/>
      <c r="CB1088" s="30"/>
      <c r="CC1088" s="30"/>
      <c r="CD1088" s="30"/>
      <c r="CE1088" s="30"/>
      <c r="CF1088" s="30"/>
      <c r="CG1088" s="30"/>
      <c r="CH1088" s="74"/>
    </row>
    <row r="1089" spans="1:86" x14ac:dyDescent="0.2">
      <c r="A1089" s="3" t="s">
        <v>37</v>
      </c>
      <c r="B1089" s="39">
        <v>957</v>
      </c>
      <c r="C1089" s="82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>
        <f>5.9/100000</f>
        <v>5.9000000000000004E-5</v>
      </c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>
        <f>6/100000</f>
        <v>6.0000000000000002E-5</v>
      </c>
      <c r="AE1089" s="30"/>
      <c r="AF1089" s="30"/>
      <c r="AG1089" s="30"/>
      <c r="AH1089" s="30"/>
      <c r="AI1089" s="30"/>
      <c r="AJ1089" s="30"/>
      <c r="AK1089" s="30">
        <f>4.3/100000</f>
        <v>4.2999999999999995E-5</v>
      </c>
      <c r="AL1089" s="30"/>
      <c r="AM1089" s="30"/>
      <c r="AN1089" s="30"/>
      <c r="AO1089" s="30"/>
      <c r="AP1089" s="30"/>
      <c r="AQ1089" s="30"/>
      <c r="AR1089" s="30"/>
      <c r="AS1089" s="30"/>
      <c r="AT1089" s="30"/>
      <c r="AU1089" s="30">
        <f>7.2/100000</f>
        <v>7.2000000000000002E-5</v>
      </c>
      <c r="AV1089" s="30"/>
      <c r="AW1089" s="30"/>
      <c r="AX1089" s="30"/>
      <c r="AY1089" s="30">
        <f>7.8/100000</f>
        <v>7.7999999999999999E-5</v>
      </c>
      <c r="AZ1089" s="30"/>
      <c r="BA1089" s="30"/>
      <c r="BB1089" s="30"/>
      <c r="BC1089" s="30"/>
      <c r="BD1089" s="30"/>
      <c r="BE1089" s="30"/>
      <c r="BF1089" s="30"/>
      <c r="BG1089" s="30"/>
      <c r="BH1089" s="30"/>
      <c r="BI1089" s="30"/>
      <c r="BJ1089" s="30"/>
      <c r="BK1089" s="30"/>
      <c r="BL1089" s="30"/>
      <c r="BM1089" s="30"/>
      <c r="BN1089" s="30"/>
      <c r="BO1089" s="30"/>
      <c r="BP1089" s="30"/>
      <c r="BQ1089" s="30"/>
      <c r="BR1089" s="30"/>
      <c r="BS1089" s="30"/>
      <c r="BT1089" s="30"/>
      <c r="BU1089" s="30"/>
      <c r="BV1089" s="30"/>
      <c r="BW1089" s="30"/>
      <c r="BX1089" s="30"/>
      <c r="BY1089" s="30"/>
      <c r="BZ1089" s="30"/>
      <c r="CA1089" s="30"/>
      <c r="CB1089" s="30"/>
      <c r="CC1089" s="30"/>
      <c r="CD1089" s="30"/>
      <c r="CE1089" s="30"/>
      <c r="CF1089" s="30"/>
      <c r="CG1089" s="30"/>
      <c r="CH1089" s="74"/>
    </row>
    <row r="1090" spans="1:86" x14ac:dyDescent="0.2">
      <c r="A1090" s="3" t="s">
        <v>37</v>
      </c>
      <c r="B1090" s="39">
        <v>957</v>
      </c>
      <c r="C1090" s="82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>
        <f>17.2/100000</f>
        <v>1.7199999999999998E-4</v>
      </c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>
        <f>18/100000</f>
        <v>1.8000000000000001E-4</v>
      </c>
      <c r="AE1090" s="30"/>
      <c r="AF1090" s="30"/>
      <c r="AG1090" s="30"/>
      <c r="AH1090" s="30"/>
      <c r="AI1090" s="30"/>
      <c r="AJ1090" s="30"/>
      <c r="AK1090" s="30">
        <f>20.4/100000</f>
        <v>2.04E-4</v>
      </c>
      <c r="AL1090" s="30"/>
      <c r="AM1090" s="30"/>
      <c r="AN1090" s="30"/>
      <c r="AO1090" s="30"/>
      <c r="AP1090" s="30"/>
      <c r="AQ1090" s="30"/>
      <c r="AR1090" s="30"/>
      <c r="AS1090" s="30"/>
      <c r="AT1090" s="30"/>
      <c r="AU1090" s="30">
        <f>19.4/100000</f>
        <v>1.94E-4</v>
      </c>
      <c r="AV1090" s="30"/>
      <c r="AW1090" s="30"/>
      <c r="AX1090" s="30"/>
      <c r="AY1090" s="30">
        <f>18.5/100000</f>
        <v>1.85E-4</v>
      </c>
      <c r="AZ1090" s="30"/>
      <c r="BA1090" s="30"/>
      <c r="BB1090" s="30"/>
      <c r="BC1090" s="30"/>
      <c r="BD1090" s="30"/>
      <c r="BE1090" s="30"/>
      <c r="BF1090" s="30"/>
      <c r="BG1090" s="30"/>
      <c r="BH1090" s="30"/>
      <c r="BI1090" s="30"/>
      <c r="BJ1090" s="30"/>
      <c r="BK1090" s="30"/>
      <c r="BL1090" s="30"/>
      <c r="BM1090" s="30"/>
      <c r="BN1090" s="30"/>
      <c r="BO1090" s="30"/>
      <c r="BP1090" s="30"/>
      <c r="BQ1090" s="30"/>
      <c r="BR1090" s="30"/>
      <c r="BS1090" s="30"/>
      <c r="BT1090" s="30"/>
      <c r="BU1090" s="30"/>
      <c r="BV1090" s="30"/>
      <c r="BW1090" s="30"/>
      <c r="BX1090" s="30"/>
      <c r="BY1090" s="30"/>
      <c r="BZ1090" s="30"/>
      <c r="CA1090" s="30"/>
      <c r="CB1090" s="30"/>
      <c r="CC1090" s="30"/>
      <c r="CD1090" s="30"/>
      <c r="CE1090" s="30"/>
      <c r="CF1090" s="30"/>
      <c r="CG1090" s="30"/>
      <c r="CH1090" s="74"/>
    </row>
    <row r="1091" spans="1:86" x14ac:dyDescent="0.2">
      <c r="A1091" s="3" t="s">
        <v>37</v>
      </c>
      <c r="B1091" s="39">
        <v>957</v>
      </c>
      <c r="C1091" s="82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>
        <f>21.8/100000</f>
        <v>2.1800000000000001E-4</v>
      </c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>
        <f>18.1/100000</f>
        <v>1.8100000000000001E-4</v>
      </c>
      <c r="AE1091" s="30"/>
      <c r="AF1091" s="30"/>
      <c r="AG1091" s="30"/>
      <c r="AH1091" s="30"/>
      <c r="AI1091" s="30"/>
      <c r="AJ1091" s="30"/>
      <c r="AK1091" s="30">
        <f>19.6/100000</f>
        <v>1.9600000000000002E-4</v>
      </c>
      <c r="AL1091" s="30"/>
      <c r="AM1091" s="30"/>
      <c r="AN1091" s="30"/>
      <c r="AO1091" s="30"/>
      <c r="AP1091" s="30"/>
      <c r="AQ1091" s="30"/>
      <c r="AR1091" s="30"/>
      <c r="AS1091" s="30"/>
      <c r="AT1091" s="30"/>
      <c r="AU1091" s="30">
        <f>24.7/100000</f>
        <v>2.4699999999999999E-4</v>
      </c>
      <c r="AV1091" s="30"/>
      <c r="AW1091" s="30"/>
      <c r="AX1091" s="30"/>
      <c r="AY1091" s="30">
        <f>22.7/100000</f>
        <v>2.2699999999999999E-4</v>
      </c>
      <c r="AZ1091" s="30"/>
      <c r="BA1091" s="30"/>
      <c r="BB1091" s="30"/>
      <c r="BC1091" s="30"/>
      <c r="BD1091" s="30"/>
      <c r="BE1091" s="30"/>
      <c r="BF1091" s="30"/>
      <c r="BG1091" s="30"/>
      <c r="BH1091" s="30"/>
      <c r="BI1091" s="30"/>
      <c r="BJ1091" s="30"/>
      <c r="BK1091" s="30"/>
      <c r="BL1091" s="30"/>
      <c r="BM1091" s="30"/>
      <c r="BN1091" s="30"/>
      <c r="BO1091" s="30"/>
      <c r="BP1091" s="30"/>
      <c r="BQ1091" s="30"/>
      <c r="BR1091" s="30"/>
      <c r="BS1091" s="30"/>
      <c r="BT1091" s="30"/>
      <c r="BU1091" s="30"/>
      <c r="BV1091" s="30"/>
      <c r="BW1091" s="30"/>
      <c r="BX1091" s="30"/>
      <c r="BY1091" s="30"/>
      <c r="BZ1091" s="30"/>
      <c r="CA1091" s="30"/>
      <c r="CB1091" s="30"/>
      <c r="CC1091" s="30"/>
      <c r="CD1091" s="30"/>
      <c r="CE1091" s="30"/>
      <c r="CF1091" s="30"/>
      <c r="CG1091" s="30"/>
      <c r="CH1091" s="74"/>
    </row>
    <row r="1092" spans="1:86" x14ac:dyDescent="0.2">
      <c r="A1092" s="3" t="s">
        <v>37</v>
      </c>
      <c r="B1092" s="39">
        <v>957</v>
      </c>
      <c r="C1092" s="82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>
        <f>10.6/100000</f>
        <v>1.06E-4</v>
      </c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>
        <f>11.8/100000</f>
        <v>1.1800000000000001E-4</v>
      </c>
      <c r="AE1092" s="30"/>
      <c r="AF1092" s="30"/>
      <c r="AG1092" s="30"/>
      <c r="AH1092" s="30"/>
      <c r="AI1092" s="30"/>
      <c r="AJ1092" s="30"/>
      <c r="AK1092" s="30">
        <f>7.8/100000</f>
        <v>7.7999999999999999E-5</v>
      </c>
      <c r="AL1092" s="30"/>
      <c r="AM1092" s="30"/>
      <c r="AN1092" s="30"/>
      <c r="AO1092" s="30"/>
      <c r="AP1092" s="30"/>
      <c r="AQ1092" s="30"/>
      <c r="AR1092" s="30"/>
      <c r="AS1092" s="30"/>
      <c r="AT1092" s="30"/>
      <c r="AU1092" s="30">
        <f>8.7/100000</f>
        <v>8.6999999999999987E-5</v>
      </c>
      <c r="AV1092" s="30"/>
      <c r="AW1092" s="30"/>
      <c r="AX1092" s="30"/>
      <c r="AY1092" s="30">
        <f>8.5/100000</f>
        <v>8.5000000000000006E-5</v>
      </c>
      <c r="AZ1092" s="30"/>
      <c r="BA1092" s="30"/>
      <c r="BB1092" s="30"/>
      <c r="BC1092" s="30"/>
      <c r="BD1092" s="30"/>
      <c r="BE1092" s="30"/>
      <c r="BF1092" s="30"/>
      <c r="BG1092" s="30"/>
      <c r="BH1092" s="30"/>
      <c r="BI1092" s="30"/>
      <c r="BJ1092" s="30"/>
      <c r="BK1092" s="30"/>
      <c r="BL1092" s="30"/>
      <c r="BM1092" s="30"/>
      <c r="BN1092" s="30"/>
      <c r="BO1092" s="30"/>
      <c r="BP1092" s="30"/>
      <c r="BQ1092" s="30"/>
      <c r="BR1092" s="30"/>
      <c r="BS1092" s="30"/>
      <c r="BT1092" s="30"/>
      <c r="BU1092" s="30"/>
      <c r="BV1092" s="30"/>
      <c r="BW1092" s="30"/>
      <c r="BX1092" s="30"/>
      <c r="BY1092" s="30"/>
      <c r="BZ1092" s="30"/>
      <c r="CA1092" s="30"/>
      <c r="CB1092" s="30"/>
      <c r="CC1092" s="30"/>
      <c r="CD1092" s="30"/>
      <c r="CE1092" s="30"/>
      <c r="CF1092" s="30"/>
      <c r="CG1092" s="30"/>
      <c r="CH1092" s="74"/>
    </row>
    <row r="1093" spans="1:86" x14ac:dyDescent="0.2">
      <c r="A1093" s="3" t="s">
        <v>37</v>
      </c>
      <c r="B1093" s="39">
        <v>957</v>
      </c>
      <c r="C1093" s="82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>
        <f>5.6/100000</f>
        <v>5.5999999999999999E-5</v>
      </c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>
        <f>8.5/100000</f>
        <v>8.5000000000000006E-5</v>
      </c>
      <c r="AE1093" s="30"/>
      <c r="AF1093" s="30"/>
      <c r="AG1093" s="30"/>
      <c r="AH1093" s="30"/>
      <c r="AI1093" s="30"/>
      <c r="AJ1093" s="30"/>
      <c r="AK1093" s="30">
        <f>8.3/100000</f>
        <v>8.3000000000000012E-5</v>
      </c>
      <c r="AL1093" s="30"/>
      <c r="AM1093" s="30"/>
      <c r="AN1093" s="30"/>
      <c r="AO1093" s="30"/>
      <c r="AP1093" s="30"/>
      <c r="AQ1093" s="30"/>
      <c r="AR1093" s="30"/>
      <c r="AS1093" s="30"/>
      <c r="AT1093" s="30"/>
      <c r="AU1093" s="30">
        <f>10.7/100000</f>
        <v>1.07E-4</v>
      </c>
      <c r="AV1093" s="30"/>
      <c r="AW1093" s="30"/>
      <c r="AX1093" s="30"/>
      <c r="AY1093" s="30">
        <f>11.9/100000</f>
        <v>1.1900000000000001E-4</v>
      </c>
      <c r="AZ1093" s="30"/>
      <c r="BA1093" s="30"/>
      <c r="BB1093" s="30"/>
      <c r="BC1093" s="30"/>
      <c r="BD1093" s="30"/>
      <c r="BE1093" s="30"/>
      <c r="BF1093" s="30"/>
      <c r="BG1093" s="30"/>
      <c r="BH1093" s="30"/>
      <c r="BI1093" s="30"/>
      <c r="BJ1093" s="30"/>
      <c r="BK1093" s="30"/>
      <c r="BL1093" s="30"/>
      <c r="BM1093" s="30"/>
      <c r="BN1093" s="30"/>
      <c r="BO1093" s="30"/>
      <c r="BP1093" s="30"/>
      <c r="BQ1093" s="30"/>
      <c r="BR1093" s="30"/>
      <c r="BS1093" s="30"/>
      <c r="BT1093" s="30"/>
      <c r="BU1093" s="30"/>
      <c r="BV1093" s="30"/>
      <c r="BW1093" s="30"/>
      <c r="BX1093" s="30"/>
      <c r="BY1093" s="30"/>
      <c r="BZ1093" s="30"/>
      <c r="CA1093" s="30"/>
      <c r="CB1093" s="30"/>
      <c r="CC1093" s="30"/>
      <c r="CD1093" s="30"/>
      <c r="CE1093" s="30"/>
      <c r="CF1093" s="30"/>
      <c r="CG1093" s="30"/>
      <c r="CH1093" s="74"/>
    </row>
    <row r="1094" spans="1:86" x14ac:dyDescent="0.2">
      <c r="A1094" s="3" t="s">
        <v>37</v>
      </c>
      <c r="B1094" s="39">
        <v>958</v>
      </c>
      <c r="C1094" s="82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c r="AJ1094" s="30"/>
      <c r="AK1094" s="30"/>
      <c r="AL1094" s="30"/>
      <c r="AM1094" s="30"/>
      <c r="AN1094" s="30"/>
      <c r="AO1094" s="30"/>
      <c r="AP1094" s="30"/>
      <c r="AQ1094" s="30">
        <f>17.8/100000</f>
        <v>1.7800000000000002E-4</v>
      </c>
      <c r="AR1094" s="30"/>
      <c r="AS1094" s="30"/>
      <c r="AT1094" s="30"/>
      <c r="AU1094" s="30"/>
      <c r="AV1094" s="30"/>
      <c r="AW1094" s="30">
        <f>21.5/100000</f>
        <v>2.1499999999999999E-4</v>
      </c>
      <c r="AX1094" s="30"/>
      <c r="AY1094" s="30"/>
      <c r="AZ1094" s="30"/>
      <c r="BA1094" s="30"/>
      <c r="BB1094" s="30"/>
      <c r="BC1094" s="30"/>
      <c r="BD1094" s="30"/>
      <c r="BE1094" s="30"/>
      <c r="BF1094" s="30"/>
      <c r="BG1094" s="30"/>
      <c r="BH1094" s="30"/>
      <c r="BI1094" s="30"/>
      <c r="BJ1094" s="30"/>
      <c r="BK1094" s="30"/>
      <c r="BL1094" s="30"/>
      <c r="BM1094" s="30"/>
      <c r="BN1094" s="30"/>
      <c r="BO1094" s="30"/>
      <c r="BP1094" s="30"/>
      <c r="BQ1094" s="30"/>
      <c r="BR1094" s="30"/>
      <c r="BS1094" s="30"/>
      <c r="BT1094" s="30"/>
      <c r="BU1094" s="30"/>
      <c r="BV1094" s="30"/>
      <c r="BW1094" s="30"/>
      <c r="BX1094" s="30"/>
      <c r="BY1094" s="30"/>
      <c r="BZ1094" s="30"/>
      <c r="CA1094" s="30"/>
      <c r="CB1094" s="30"/>
      <c r="CC1094" s="30"/>
      <c r="CD1094" s="30"/>
      <c r="CE1094" s="30"/>
      <c r="CF1094" s="30"/>
      <c r="CG1094" s="30"/>
      <c r="CH1094" s="74"/>
    </row>
    <row r="1095" spans="1:86" x14ac:dyDescent="0.2">
      <c r="A1095" s="3" t="s">
        <v>37</v>
      </c>
      <c r="B1095" s="39">
        <v>959</v>
      </c>
      <c r="C1095" s="82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c r="AJ1095" s="30"/>
      <c r="AK1095" s="30">
        <f>5.4/100000</f>
        <v>5.4000000000000005E-5</v>
      </c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30"/>
      <c r="AV1095" s="30"/>
      <c r="AW1095" s="30"/>
      <c r="AX1095" s="30"/>
      <c r="AY1095" s="30"/>
      <c r="AZ1095" s="30"/>
      <c r="BA1095" s="30"/>
      <c r="BB1095" s="30"/>
      <c r="BC1095" s="30"/>
      <c r="BD1095" s="30"/>
      <c r="BE1095" s="30">
        <f>10.3/100000</f>
        <v>1.0300000000000001E-4</v>
      </c>
      <c r="BF1095" s="30"/>
      <c r="BG1095" s="30"/>
      <c r="BH1095" s="30"/>
      <c r="BI1095" s="30"/>
      <c r="BJ1095" s="30"/>
      <c r="BK1095" s="30"/>
      <c r="BL1095" s="30"/>
      <c r="BM1095" s="30"/>
      <c r="BN1095" s="30"/>
      <c r="BO1095" s="30"/>
      <c r="BP1095" s="30"/>
      <c r="BQ1095" s="30"/>
      <c r="BR1095" s="30"/>
      <c r="BS1095" s="30"/>
      <c r="BT1095" s="30"/>
      <c r="BU1095" s="30"/>
      <c r="BV1095" s="30"/>
      <c r="BW1095" s="30"/>
      <c r="BX1095" s="30"/>
      <c r="BY1095" s="30"/>
      <c r="BZ1095" s="30"/>
      <c r="CA1095" s="30"/>
      <c r="CB1095" s="30"/>
      <c r="CC1095" s="30"/>
      <c r="CD1095" s="30"/>
      <c r="CE1095" s="30"/>
      <c r="CF1095" s="30"/>
      <c r="CG1095" s="30"/>
      <c r="CH1095" s="74"/>
    </row>
    <row r="1096" spans="1:86" x14ac:dyDescent="0.2">
      <c r="A1096" s="3" t="s">
        <v>37</v>
      </c>
      <c r="B1096" s="39">
        <v>960</v>
      </c>
      <c r="C1096" s="82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c r="AJ1096" s="30"/>
      <c r="AK1096" s="30"/>
      <c r="AL1096" s="30">
        <f>21/100000</f>
        <v>2.1000000000000001E-4</v>
      </c>
      <c r="AM1096" s="30"/>
      <c r="AN1096" s="30"/>
      <c r="AO1096" s="30"/>
      <c r="AP1096" s="30"/>
      <c r="AQ1096" s="30"/>
      <c r="AR1096" s="30"/>
      <c r="AS1096" s="30"/>
      <c r="AT1096" s="30"/>
      <c r="AU1096" s="30"/>
      <c r="AV1096" s="30"/>
      <c r="AW1096" s="30"/>
      <c r="AX1096" s="30"/>
      <c r="AY1096" s="30"/>
      <c r="AZ1096" s="30"/>
      <c r="BA1096" s="30"/>
      <c r="BB1096" s="30"/>
      <c r="BC1096" s="30"/>
      <c r="BD1096" s="30"/>
      <c r="BE1096" s="30"/>
      <c r="BF1096" s="30"/>
      <c r="BG1096" s="30"/>
      <c r="BH1096" s="30"/>
      <c r="BI1096" s="30">
        <f>29/100000</f>
        <v>2.9E-4</v>
      </c>
      <c r="BJ1096" s="30"/>
      <c r="BK1096" s="30"/>
      <c r="BL1096" s="30"/>
      <c r="BM1096" s="30"/>
      <c r="BN1096" s="30"/>
      <c r="BO1096" s="30"/>
      <c r="BP1096" s="30"/>
      <c r="BQ1096" s="30"/>
      <c r="BR1096" s="30"/>
      <c r="BS1096" s="30"/>
      <c r="BT1096" s="30"/>
      <c r="BU1096" s="30"/>
      <c r="BV1096" s="30"/>
      <c r="BW1096" s="30"/>
      <c r="BX1096" s="30"/>
      <c r="BY1096" s="30"/>
      <c r="BZ1096" s="30"/>
      <c r="CA1096" s="30"/>
      <c r="CB1096" s="30"/>
      <c r="CC1096" s="30"/>
      <c r="CD1096" s="30"/>
      <c r="CE1096" s="30"/>
      <c r="CF1096" s="30"/>
      <c r="CG1096" s="30"/>
      <c r="CH1096" s="74"/>
    </row>
    <row r="1097" spans="1:86" x14ac:dyDescent="0.2">
      <c r="A1097" s="3" t="s">
        <v>37</v>
      </c>
      <c r="B1097" s="39">
        <v>961</v>
      </c>
      <c r="C1097" s="82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c r="AJ1097" s="30"/>
      <c r="AK1097" s="30"/>
      <c r="AL1097" s="30"/>
      <c r="AM1097" s="30"/>
      <c r="AN1097" s="30"/>
      <c r="AO1097" s="30"/>
      <c r="AP1097" s="30"/>
      <c r="AQ1097" s="30"/>
      <c r="AR1097" s="30"/>
      <c r="AS1097" s="30"/>
      <c r="AT1097" s="30"/>
      <c r="AU1097" s="30"/>
      <c r="AV1097" s="30"/>
      <c r="AW1097" s="30"/>
      <c r="AX1097" s="30"/>
      <c r="AY1097" s="30"/>
      <c r="AZ1097" s="30"/>
      <c r="BA1097" s="30">
        <f>40.1/100000</f>
        <v>4.0099999999999999E-4</v>
      </c>
      <c r="BB1097" s="30"/>
      <c r="BC1097" s="30"/>
      <c r="BD1097" s="30"/>
      <c r="BE1097" s="30"/>
      <c r="BF1097" s="30"/>
      <c r="BG1097" s="30"/>
      <c r="BH1097" s="30"/>
      <c r="BI1097" s="30"/>
      <c r="BJ1097" s="30"/>
      <c r="BK1097" s="30">
        <f>17.8/100000</f>
        <v>1.7800000000000002E-4</v>
      </c>
      <c r="BL1097" s="30"/>
      <c r="BM1097" s="30"/>
      <c r="BN1097" s="30"/>
      <c r="BO1097" s="30"/>
      <c r="BP1097" s="30"/>
      <c r="BQ1097" s="30"/>
      <c r="BR1097" s="30"/>
      <c r="BS1097" s="30"/>
      <c r="BT1097" s="30"/>
      <c r="BU1097" s="30"/>
      <c r="BV1097" s="30"/>
      <c r="BW1097" s="30"/>
      <c r="BX1097" s="30"/>
      <c r="BY1097" s="30"/>
      <c r="BZ1097" s="30"/>
      <c r="CA1097" s="30"/>
      <c r="CB1097" s="30"/>
      <c r="CC1097" s="30"/>
      <c r="CD1097" s="30"/>
      <c r="CE1097" s="30"/>
      <c r="CF1097" s="30"/>
      <c r="CG1097" s="30"/>
      <c r="CH1097" s="74"/>
    </row>
    <row r="1098" spans="1:86" x14ac:dyDescent="0.2">
      <c r="A1098" s="3" t="s">
        <v>37</v>
      </c>
      <c r="B1098" s="39">
        <v>962</v>
      </c>
      <c r="C1098" s="82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30"/>
      <c r="AK1098" s="30"/>
      <c r="AL1098" s="30"/>
      <c r="AM1098" s="30"/>
      <c r="AN1098" s="30"/>
      <c r="AO1098" s="30"/>
      <c r="AP1098" s="30"/>
      <c r="AQ1098" s="30">
        <f>14.5/100000</f>
        <v>1.45E-4</v>
      </c>
      <c r="AR1098" s="30"/>
      <c r="AS1098" s="30"/>
      <c r="AT1098" s="30"/>
      <c r="AU1098" s="30"/>
      <c r="AV1098" s="30"/>
      <c r="AW1098" s="30"/>
      <c r="AX1098" s="30"/>
      <c r="AY1098" s="30"/>
      <c r="AZ1098" s="30"/>
      <c r="BA1098" s="30"/>
      <c r="BB1098" s="30"/>
      <c r="BC1098" s="30">
        <f>15.4/100000</f>
        <v>1.54E-4</v>
      </c>
      <c r="BD1098" s="30"/>
      <c r="BE1098" s="30"/>
      <c r="BF1098" s="30"/>
      <c r="BG1098" s="30"/>
      <c r="BH1098" s="30"/>
      <c r="BI1098" s="30"/>
      <c r="BJ1098" s="30"/>
      <c r="BK1098" s="30"/>
      <c r="BL1098" s="30"/>
      <c r="BM1098" s="30"/>
      <c r="BN1098" s="30"/>
      <c r="BO1098" s="30"/>
      <c r="BP1098" s="30"/>
      <c r="BQ1098" s="30"/>
      <c r="BR1098" s="30"/>
      <c r="BS1098" s="30"/>
      <c r="BT1098" s="30"/>
      <c r="BU1098" s="30"/>
      <c r="BV1098" s="30"/>
      <c r="BW1098" s="30"/>
      <c r="BX1098" s="30"/>
      <c r="BY1098" s="30"/>
      <c r="BZ1098" s="30"/>
      <c r="CA1098" s="30"/>
      <c r="CB1098" s="30"/>
      <c r="CC1098" s="30"/>
      <c r="CD1098" s="30"/>
      <c r="CE1098" s="30"/>
      <c r="CF1098" s="30"/>
      <c r="CG1098" s="30"/>
      <c r="CH1098" s="74"/>
    </row>
    <row r="1099" spans="1:86" x14ac:dyDescent="0.2">
      <c r="A1099" s="3" t="s">
        <v>37</v>
      </c>
      <c r="B1099" s="39">
        <v>962</v>
      </c>
      <c r="C1099" s="82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c r="AJ1099" s="30"/>
      <c r="AK1099" s="30"/>
      <c r="AL1099" s="30"/>
      <c r="AM1099" s="30"/>
      <c r="AN1099" s="30"/>
      <c r="AO1099" s="30"/>
      <c r="AP1099" s="30"/>
      <c r="AQ1099" s="30">
        <f>3.1/100000</f>
        <v>3.1000000000000001E-5</v>
      </c>
      <c r="AR1099" s="30"/>
      <c r="AS1099" s="30"/>
      <c r="AT1099" s="30"/>
      <c r="AU1099" s="30"/>
      <c r="AV1099" s="30"/>
      <c r="AW1099" s="30"/>
      <c r="AX1099" s="30"/>
      <c r="AY1099" s="30"/>
      <c r="AZ1099" s="30"/>
      <c r="BA1099" s="30"/>
      <c r="BB1099" s="30"/>
      <c r="BC1099" s="30">
        <f>2.8/100000</f>
        <v>2.8E-5</v>
      </c>
      <c r="BD1099" s="30"/>
      <c r="BE1099" s="30"/>
      <c r="BF1099" s="30"/>
      <c r="BG1099" s="30"/>
      <c r="BH1099" s="30"/>
      <c r="BI1099" s="30"/>
      <c r="BJ1099" s="30"/>
      <c r="BK1099" s="30"/>
      <c r="BL1099" s="30"/>
      <c r="BM1099" s="30"/>
      <c r="BN1099" s="30"/>
      <c r="BO1099" s="30"/>
      <c r="BP1099" s="30"/>
      <c r="BQ1099" s="30"/>
      <c r="BR1099" s="30"/>
      <c r="BS1099" s="30"/>
      <c r="BT1099" s="30"/>
      <c r="BU1099" s="30"/>
      <c r="BV1099" s="30"/>
      <c r="BW1099" s="30"/>
      <c r="BX1099" s="30"/>
      <c r="BY1099" s="30"/>
      <c r="BZ1099" s="30"/>
      <c r="CA1099" s="30"/>
      <c r="CB1099" s="30"/>
      <c r="CC1099" s="30"/>
      <c r="CD1099" s="30"/>
      <c r="CE1099" s="30"/>
      <c r="CF1099" s="30"/>
      <c r="CG1099" s="30"/>
      <c r="CH1099" s="74"/>
    </row>
    <row r="1100" spans="1:86" x14ac:dyDescent="0.2">
      <c r="A1100" s="3" t="s">
        <v>37</v>
      </c>
      <c r="B1100" s="39">
        <v>963</v>
      </c>
      <c r="C1100" s="82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30"/>
      <c r="AK1100" s="30"/>
      <c r="AL1100" s="30"/>
      <c r="AM1100" s="30"/>
      <c r="AN1100" s="30"/>
      <c r="AO1100" s="30"/>
      <c r="AP1100" s="30"/>
      <c r="AQ1100" s="30">
        <f>17.6/100000</f>
        <v>1.7600000000000002E-4</v>
      </c>
      <c r="AR1100" s="30"/>
      <c r="AS1100" s="30"/>
      <c r="AT1100" s="30"/>
      <c r="AU1100" s="30"/>
      <c r="AV1100" s="30"/>
      <c r="AW1100" s="30"/>
      <c r="AX1100" s="30"/>
      <c r="AY1100" s="30"/>
      <c r="AZ1100" s="30"/>
      <c r="BA1100" s="30"/>
      <c r="BB1100" s="30"/>
      <c r="BC1100" s="30">
        <f>19.1/100000</f>
        <v>1.9100000000000001E-4</v>
      </c>
      <c r="BD1100" s="30"/>
      <c r="BE1100" s="30"/>
      <c r="BF1100" s="30"/>
      <c r="BG1100" s="30"/>
      <c r="BH1100" s="30"/>
      <c r="BI1100" s="30"/>
      <c r="BJ1100" s="30"/>
      <c r="BK1100" s="30"/>
      <c r="BL1100" s="30"/>
      <c r="BM1100" s="30"/>
      <c r="BN1100" s="30"/>
      <c r="BO1100" s="30"/>
      <c r="BP1100" s="30"/>
      <c r="BQ1100" s="30"/>
      <c r="BR1100" s="30"/>
      <c r="BS1100" s="30"/>
      <c r="BT1100" s="30"/>
      <c r="BU1100" s="30"/>
      <c r="BV1100" s="30"/>
      <c r="BW1100" s="30"/>
      <c r="BX1100" s="30"/>
      <c r="BY1100" s="30"/>
      <c r="BZ1100" s="30"/>
      <c r="CA1100" s="30"/>
      <c r="CB1100" s="30"/>
      <c r="CC1100" s="30"/>
      <c r="CD1100" s="30"/>
      <c r="CE1100" s="30"/>
      <c r="CF1100" s="30"/>
      <c r="CG1100" s="30"/>
      <c r="CH1100" s="74"/>
    </row>
    <row r="1101" spans="1:86" x14ac:dyDescent="0.2">
      <c r="A1101" s="3" t="s">
        <v>37</v>
      </c>
      <c r="B1101" s="39">
        <v>964</v>
      </c>
      <c r="C1101" s="82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c r="AJ1101" s="30"/>
      <c r="AK1101" s="30"/>
      <c r="AL1101" s="30"/>
      <c r="AM1101" s="30"/>
      <c r="AN1101" s="30"/>
      <c r="AO1101" s="30"/>
      <c r="AP1101" s="30"/>
      <c r="AQ1101" s="30"/>
      <c r="AR1101" s="30"/>
      <c r="AS1101" s="30"/>
      <c r="AT1101" s="30"/>
      <c r="AU1101" s="30"/>
      <c r="AV1101" s="30"/>
      <c r="AW1101" s="30"/>
      <c r="AX1101" s="30"/>
      <c r="AY1101" s="30"/>
      <c r="AZ1101" s="30"/>
      <c r="BA1101" s="30">
        <f>12.4/100000</f>
        <v>1.2400000000000001E-4</v>
      </c>
      <c r="BB1101" s="30">
        <f>12.2/100000</f>
        <v>1.22E-4</v>
      </c>
      <c r="BC1101" s="30">
        <f>12/100000</f>
        <v>1.2E-4</v>
      </c>
      <c r="BD1101" s="30">
        <f>12.1/100000</f>
        <v>1.21E-4</v>
      </c>
      <c r="BE1101" s="30">
        <f>12/100000</f>
        <v>1.2E-4</v>
      </c>
      <c r="BF1101" s="30">
        <f>11.9/100000</f>
        <v>1.1900000000000001E-4</v>
      </c>
      <c r="BG1101" s="30">
        <f>11.6/100000</f>
        <v>1.16E-4</v>
      </c>
      <c r="BH1101" s="30">
        <f>11.4/100000</f>
        <v>1.1400000000000001E-4</v>
      </c>
      <c r="BI1101" s="30">
        <f>11.3/100000</f>
        <v>1.1300000000000001E-4</v>
      </c>
      <c r="BJ1101" s="30">
        <f>10.7/100000</f>
        <v>1.07E-4</v>
      </c>
      <c r="BK1101" s="30"/>
      <c r="BL1101" s="30"/>
      <c r="BM1101" s="30"/>
      <c r="BN1101" s="30"/>
      <c r="BO1101" s="30"/>
      <c r="BP1101" s="30"/>
      <c r="BQ1101" s="30"/>
      <c r="BR1101" s="30"/>
      <c r="BS1101" s="30"/>
      <c r="BT1101" s="30"/>
      <c r="BU1101" s="30"/>
      <c r="BV1101" s="30"/>
      <c r="BW1101" s="30"/>
      <c r="BX1101" s="30"/>
      <c r="BY1101" s="30"/>
      <c r="BZ1101" s="30"/>
      <c r="CA1101" s="30"/>
      <c r="CB1101" s="30"/>
      <c r="CC1101" s="30"/>
      <c r="CD1101" s="30"/>
      <c r="CE1101" s="30"/>
      <c r="CF1101" s="30"/>
      <c r="CG1101" s="30"/>
      <c r="CH1101" s="74"/>
    </row>
    <row r="1102" spans="1:86" x14ac:dyDescent="0.2">
      <c r="A1102" s="3" t="s">
        <v>37</v>
      </c>
      <c r="B1102" s="39">
        <v>965</v>
      </c>
      <c r="C1102" s="82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>
        <f>7.5/100000</f>
        <v>7.4999999999999993E-5</v>
      </c>
      <c r="AF1102" s="30"/>
      <c r="AG1102" s="30"/>
      <c r="AH1102" s="30"/>
      <c r="AI1102" s="30"/>
      <c r="AJ1102" s="30"/>
      <c r="AK1102" s="30"/>
      <c r="AL1102" s="30"/>
      <c r="AM1102" s="30"/>
      <c r="AN1102" s="30"/>
      <c r="AO1102" s="30"/>
      <c r="AP1102" s="30"/>
      <c r="AQ1102" s="30"/>
      <c r="AR1102" s="30"/>
      <c r="AS1102" s="30"/>
      <c r="AT1102" s="30"/>
      <c r="AU1102" s="30"/>
      <c r="AV1102" s="30"/>
      <c r="AW1102" s="30"/>
      <c r="AX1102" s="30"/>
      <c r="AY1102" s="30"/>
      <c r="AZ1102" s="30"/>
      <c r="BA1102" s="30">
        <f>16.6/100000</f>
        <v>1.6600000000000002E-4</v>
      </c>
      <c r="BB1102" s="30"/>
      <c r="BC1102" s="30"/>
      <c r="BD1102" s="30"/>
      <c r="BE1102" s="30"/>
      <c r="BF1102" s="30"/>
      <c r="BG1102" s="30"/>
      <c r="BH1102" s="30"/>
      <c r="BI1102" s="30"/>
      <c r="BJ1102" s="30"/>
      <c r="BK1102" s="30"/>
      <c r="BL1102" s="30"/>
      <c r="BM1102" s="30"/>
      <c r="BN1102" s="30"/>
      <c r="BO1102" s="30"/>
      <c r="BP1102" s="30">
        <f>8.5/100000</f>
        <v>8.5000000000000006E-5</v>
      </c>
      <c r="BQ1102" s="30"/>
      <c r="BR1102" s="30"/>
      <c r="BS1102" s="30"/>
      <c r="BT1102" s="30"/>
      <c r="BU1102" s="30"/>
      <c r="BV1102" s="30"/>
      <c r="BW1102" s="30"/>
      <c r="BX1102" s="30"/>
      <c r="BY1102" s="30"/>
      <c r="BZ1102" s="30"/>
      <c r="CA1102" s="30"/>
      <c r="CB1102" s="30"/>
      <c r="CC1102" s="30"/>
      <c r="CD1102" s="30"/>
      <c r="CE1102" s="30"/>
      <c r="CF1102" s="30"/>
      <c r="CG1102" s="30"/>
      <c r="CH1102" s="74"/>
    </row>
    <row r="1103" spans="1:86" x14ac:dyDescent="0.2">
      <c r="A1103" s="3" t="s">
        <v>37</v>
      </c>
      <c r="B1103" s="39">
        <v>965</v>
      </c>
      <c r="C1103" s="82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>
        <f>13.5/100000</f>
        <v>1.35E-4</v>
      </c>
      <c r="AF1103" s="30"/>
      <c r="AG1103" s="30"/>
      <c r="AH1103" s="30"/>
      <c r="AI1103" s="30"/>
      <c r="AJ1103" s="30"/>
      <c r="AK1103" s="30"/>
      <c r="AL1103" s="30"/>
      <c r="AM1103" s="30"/>
      <c r="AN1103" s="30"/>
      <c r="AO1103" s="30"/>
      <c r="AP1103" s="30"/>
      <c r="AQ1103" s="30"/>
      <c r="AR1103" s="30"/>
      <c r="AS1103" s="30"/>
      <c r="AT1103" s="30"/>
      <c r="AU1103" s="30"/>
      <c r="AV1103" s="30"/>
      <c r="AW1103" s="30"/>
      <c r="AX1103" s="30"/>
      <c r="AY1103" s="30"/>
      <c r="AZ1103" s="30"/>
      <c r="BA1103" s="30">
        <f>22.2/100000</f>
        <v>2.22E-4</v>
      </c>
      <c r="BB1103" s="30"/>
      <c r="BC1103" s="30"/>
      <c r="BD1103" s="30"/>
      <c r="BE1103" s="30"/>
      <c r="BF1103" s="30"/>
      <c r="BG1103" s="30"/>
      <c r="BH1103" s="30"/>
      <c r="BI1103" s="30"/>
      <c r="BJ1103" s="30"/>
      <c r="BK1103" s="30"/>
      <c r="BL1103" s="30"/>
      <c r="BM1103" s="30"/>
      <c r="BN1103" s="30"/>
      <c r="BO1103" s="30"/>
      <c r="BP1103" s="30">
        <f>15.7/100000</f>
        <v>1.5699999999999999E-4</v>
      </c>
      <c r="BQ1103" s="30"/>
      <c r="BR1103" s="30"/>
      <c r="BS1103" s="30"/>
      <c r="BT1103" s="30"/>
      <c r="BU1103" s="30"/>
      <c r="BV1103" s="30"/>
      <c r="BW1103" s="30"/>
      <c r="BX1103" s="30"/>
      <c r="BY1103" s="30"/>
      <c r="BZ1103" s="30"/>
      <c r="CA1103" s="30"/>
      <c r="CB1103" s="30"/>
      <c r="CC1103" s="30"/>
      <c r="CD1103" s="30"/>
      <c r="CE1103" s="30"/>
      <c r="CF1103" s="30"/>
      <c r="CG1103" s="30"/>
      <c r="CH1103" s="74"/>
    </row>
    <row r="1104" spans="1:86" x14ac:dyDescent="0.2">
      <c r="A1104" s="3" t="s">
        <v>37</v>
      </c>
      <c r="B1104" s="39">
        <v>966</v>
      </c>
      <c r="C1104" s="82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c r="AJ1104" s="30"/>
      <c r="AK1104" s="30"/>
      <c r="AL1104" s="30"/>
      <c r="AM1104" s="30"/>
      <c r="AN1104" s="30"/>
      <c r="AO1104" s="30"/>
      <c r="AP1104" s="30"/>
      <c r="AQ1104" s="30"/>
      <c r="AR1104" s="30"/>
      <c r="AS1104" s="30"/>
      <c r="AT1104" s="30"/>
      <c r="AU1104" s="30"/>
      <c r="AV1104" s="30"/>
      <c r="AW1104" s="30"/>
      <c r="AX1104" s="30"/>
      <c r="AY1104" s="30"/>
      <c r="AZ1104" s="30"/>
      <c r="BA1104" s="30"/>
      <c r="BB1104" s="30"/>
      <c r="BC1104" s="30"/>
      <c r="BD1104" s="30"/>
      <c r="BE1104" s="30"/>
      <c r="BF1104" s="30"/>
      <c r="BG1104" s="30"/>
      <c r="BH1104" s="30"/>
      <c r="BI1104" s="30"/>
      <c r="BJ1104" s="30"/>
      <c r="BK1104" s="30"/>
      <c r="BL1104" s="30">
        <f>9/100000</f>
        <v>9.0000000000000006E-5</v>
      </c>
      <c r="BM1104" s="30">
        <f>11.5/100000</f>
        <v>1.15E-4</v>
      </c>
      <c r="BN1104" s="30">
        <f>11.4/100000</f>
        <v>1.1400000000000001E-4</v>
      </c>
      <c r="BO1104" s="30">
        <f>9.6/100000</f>
        <v>9.6000000000000002E-5</v>
      </c>
      <c r="BP1104" s="30">
        <f>12.7/100000</f>
        <v>1.27E-4</v>
      </c>
      <c r="BQ1104" s="30">
        <f>15.3/100000</f>
        <v>1.5300000000000001E-4</v>
      </c>
      <c r="BR1104" s="30">
        <f>16.8/100000</f>
        <v>1.6800000000000002E-4</v>
      </c>
      <c r="BS1104" s="30">
        <f>20.2/100000</f>
        <v>2.02E-4</v>
      </c>
      <c r="BT1104" s="30">
        <f>21.9/100000</f>
        <v>2.1899999999999998E-4</v>
      </c>
      <c r="BU1104" s="30"/>
      <c r="BV1104" s="30"/>
      <c r="BW1104" s="30"/>
      <c r="BX1104" s="30"/>
      <c r="BY1104" s="30"/>
      <c r="BZ1104" s="30"/>
      <c r="CA1104" s="30"/>
      <c r="CB1104" s="30"/>
      <c r="CC1104" s="30"/>
      <c r="CD1104" s="30"/>
      <c r="CE1104" s="30"/>
      <c r="CF1104" s="30"/>
      <c r="CG1104" s="30"/>
      <c r="CH1104" s="74"/>
    </row>
    <row r="1105" spans="1:86" x14ac:dyDescent="0.2">
      <c r="A1105" s="3" t="s">
        <v>37</v>
      </c>
      <c r="B1105" s="39">
        <v>966</v>
      </c>
      <c r="C1105" s="82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c r="AJ1105" s="30"/>
      <c r="AK1105" s="30"/>
      <c r="AL1105" s="30"/>
      <c r="AM1105" s="30"/>
      <c r="AN1105" s="30"/>
      <c r="AO1105" s="30"/>
      <c r="AP1105" s="30"/>
      <c r="AQ1105" s="30"/>
      <c r="AR1105" s="30"/>
      <c r="AS1105" s="30"/>
      <c r="AT1105" s="30"/>
      <c r="AU1105" s="30"/>
      <c r="AV1105" s="30"/>
      <c r="AW1105" s="30"/>
      <c r="AX1105" s="30"/>
      <c r="AY1105" s="30"/>
      <c r="AZ1105" s="30"/>
      <c r="BA1105" s="30"/>
      <c r="BB1105" s="30"/>
      <c r="BC1105" s="30"/>
      <c r="BD1105" s="30"/>
      <c r="BE1105" s="30"/>
      <c r="BF1105" s="30"/>
      <c r="BG1105" s="30"/>
      <c r="BH1105" s="30"/>
      <c r="BI1105" s="30"/>
      <c r="BJ1105" s="30"/>
      <c r="BK1105" s="30"/>
      <c r="BL1105" s="30">
        <f>18.4/100000</f>
        <v>1.8399999999999997E-4</v>
      </c>
      <c r="BM1105" s="30">
        <f>18.5/100000</f>
        <v>1.85E-4</v>
      </c>
      <c r="BN1105" s="30">
        <f>18.2/100000</f>
        <v>1.8200000000000001E-4</v>
      </c>
      <c r="BO1105" s="30">
        <f>18.4/100000</f>
        <v>1.8399999999999997E-4</v>
      </c>
      <c r="BP1105" s="30">
        <f>18.1/100000</f>
        <v>1.8100000000000001E-4</v>
      </c>
      <c r="BQ1105" s="30">
        <f>18/100000</f>
        <v>1.8000000000000001E-4</v>
      </c>
      <c r="BR1105" s="30">
        <f>18.2/100000</f>
        <v>1.8200000000000001E-4</v>
      </c>
      <c r="BS1105" s="30"/>
      <c r="BT1105" s="30"/>
      <c r="BU1105" s="30"/>
      <c r="BV1105" s="30"/>
      <c r="BW1105" s="30"/>
      <c r="BX1105" s="30"/>
      <c r="BY1105" s="30"/>
      <c r="BZ1105" s="30"/>
      <c r="CA1105" s="30"/>
      <c r="CB1105" s="30"/>
      <c r="CC1105" s="30"/>
      <c r="CD1105" s="30"/>
      <c r="CE1105" s="30"/>
      <c r="CF1105" s="30"/>
      <c r="CG1105" s="30"/>
      <c r="CH1105" s="74"/>
    </row>
    <row r="1106" spans="1:86" x14ac:dyDescent="0.2">
      <c r="A1106" s="3" t="s">
        <v>37</v>
      </c>
      <c r="B1106" s="39">
        <v>967</v>
      </c>
      <c r="C1106" s="82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>
        <f>7/100000</f>
        <v>6.9999999999999994E-5</v>
      </c>
      <c r="AH1106" s="30"/>
      <c r="AI1106" s="30"/>
      <c r="AJ1106" s="30"/>
      <c r="AK1106" s="30"/>
      <c r="AL1106" s="30"/>
      <c r="AM1106" s="30"/>
      <c r="AN1106" s="30"/>
      <c r="AO1106" s="30"/>
      <c r="AP1106" s="30"/>
      <c r="AQ1106" s="30">
        <f>9/100000</f>
        <v>9.0000000000000006E-5</v>
      </c>
      <c r="AR1106" s="30"/>
      <c r="AS1106" s="30"/>
      <c r="AT1106" s="30"/>
      <c r="AU1106" s="30"/>
      <c r="AV1106" s="30"/>
      <c r="AW1106" s="30">
        <f>10/100000</f>
        <v>1E-4</v>
      </c>
      <c r="AX1106" s="30"/>
      <c r="AY1106" s="30"/>
      <c r="AZ1106" s="30"/>
      <c r="BA1106" s="30">
        <f>12/100000</f>
        <v>1.2E-4</v>
      </c>
      <c r="BB1106" s="30"/>
      <c r="BC1106" s="30"/>
      <c r="BD1106" s="30"/>
      <c r="BE1106" s="30"/>
      <c r="BF1106" s="30"/>
      <c r="BG1106" s="30">
        <f>8/100000</f>
        <v>8.0000000000000007E-5</v>
      </c>
      <c r="BH1106" s="30"/>
      <c r="BI1106" s="30"/>
      <c r="BJ1106" s="30"/>
      <c r="BK1106" s="30"/>
      <c r="BL1106" s="30"/>
      <c r="BM1106" s="30"/>
      <c r="BN1106" s="30"/>
      <c r="BO1106" s="30"/>
      <c r="BP1106" s="30"/>
      <c r="BQ1106" s="30"/>
      <c r="BR1106" s="30"/>
      <c r="BS1106" s="30">
        <f>7/100000</f>
        <v>6.9999999999999994E-5</v>
      </c>
      <c r="BT1106" s="30"/>
      <c r="BU1106" s="30"/>
      <c r="BV1106" s="30"/>
      <c r="BW1106" s="30"/>
      <c r="BX1106" s="30"/>
      <c r="BY1106" s="30"/>
      <c r="BZ1106" s="30"/>
      <c r="CA1106" s="30"/>
      <c r="CB1106" s="30"/>
      <c r="CC1106" s="30"/>
      <c r="CD1106" s="30"/>
      <c r="CE1106" s="30"/>
      <c r="CF1106" s="30"/>
      <c r="CG1106" s="30"/>
      <c r="CH1106" s="74"/>
    </row>
    <row r="1107" spans="1:86" x14ac:dyDescent="0.2">
      <c r="A1107" s="3" t="s">
        <v>37</v>
      </c>
      <c r="B1107" s="39">
        <v>967</v>
      </c>
      <c r="C1107" s="82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>
        <f>2/100000</f>
        <v>2.0000000000000002E-5</v>
      </c>
      <c r="AH1107" s="30"/>
      <c r="AI1107" s="30"/>
      <c r="AJ1107" s="30"/>
      <c r="AK1107" s="30"/>
      <c r="AL1107" s="30"/>
      <c r="AM1107" s="30"/>
      <c r="AN1107" s="30"/>
      <c r="AO1107" s="30"/>
      <c r="AP1107" s="30"/>
      <c r="AQ1107" s="30">
        <f>1.8/100000</f>
        <v>1.8E-5</v>
      </c>
      <c r="AR1107" s="30"/>
      <c r="AS1107" s="30"/>
      <c r="AT1107" s="30"/>
      <c r="AU1107" s="30"/>
      <c r="AV1107" s="30"/>
      <c r="AW1107" s="30">
        <f>4/100000</f>
        <v>4.0000000000000003E-5</v>
      </c>
      <c r="AX1107" s="30"/>
      <c r="AY1107" s="30"/>
      <c r="AZ1107" s="30"/>
      <c r="BA1107" s="30">
        <f>1.7/100000</f>
        <v>1.7E-5</v>
      </c>
      <c r="BB1107" s="30"/>
      <c r="BC1107" s="30"/>
      <c r="BD1107" s="30"/>
      <c r="BE1107" s="30"/>
      <c r="BF1107" s="30"/>
      <c r="BG1107" s="30">
        <f>2.1/100000</f>
        <v>2.1000000000000002E-5</v>
      </c>
      <c r="BH1107" s="30"/>
      <c r="BI1107" s="30"/>
      <c r="BJ1107" s="30"/>
      <c r="BK1107" s="30"/>
      <c r="BL1107" s="30"/>
      <c r="BM1107" s="30"/>
      <c r="BN1107" s="30"/>
      <c r="BO1107" s="30"/>
      <c r="BP1107" s="30"/>
      <c r="BQ1107" s="30"/>
      <c r="BR1107" s="30"/>
      <c r="BS1107" s="30">
        <f>2.1/100000</f>
        <v>2.1000000000000002E-5</v>
      </c>
      <c r="BT1107" s="30"/>
      <c r="BU1107" s="30"/>
      <c r="BV1107" s="30"/>
      <c r="BW1107" s="30"/>
      <c r="BX1107" s="30"/>
      <c r="BY1107" s="30"/>
      <c r="BZ1107" s="30"/>
      <c r="CA1107" s="30"/>
      <c r="CB1107" s="30"/>
      <c r="CC1107" s="30"/>
      <c r="CD1107" s="30"/>
      <c r="CE1107" s="30"/>
      <c r="CF1107" s="30"/>
      <c r="CG1107" s="30"/>
      <c r="CH1107" s="74"/>
    </row>
    <row r="1108" spans="1:86" x14ac:dyDescent="0.2">
      <c r="A1108" s="3" t="s">
        <v>37</v>
      </c>
      <c r="B1108" s="39">
        <v>968</v>
      </c>
      <c r="C1108" s="82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c r="AJ1108" s="30"/>
      <c r="AK1108" s="30"/>
      <c r="AL1108" s="30"/>
      <c r="AM1108" s="30"/>
      <c r="AN1108" s="30"/>
      <c r="AO1108" s="30"/>
      <c r="AP1108" s="30"/>
      <c r="AQ1108" s="30"/>
      <c r="AR1108" s="30"/>
      <c r="AS1108" s="30"/>
      <c r="AT1108" s="30"/>
      <c r="AU1108" s="30"/>
      <c r="AV1108" s="30"/>
      <c r="AW1108" s="30"/>
      <c r="AX1108" s="30"/>
      <c r="AY1108" s="30"/>
      <c r="AZ1108" s="30"/>
      <c r="BA1108" s="30">
        <f>8.1/100000</f>
        <v>8.099999999999999E-5</v>
      </c>
      <c r="BB1108" s="30"/>
      <c r="BC1108" s="30"/>
      <c r="BD1108" s="30"/>
      <c r="BE1108" s="30"/>
      <c r="BF1108" s="30"/>
      <c r="BG1108" s="30"/>
      <c r="BH1108" s="30"/>
      <c r="BI1108" s="30"/>
      <c r="BJ1108" s="30"/>
      <c r="BK1108" s="30"/>
      <c r="BL1108" s="30"/>
      <c r="BM1108" s="30"/>
      <c r="BN1108" s="30"/>
      <c r="BO1108" s="30"/>
      <c r="BP1108" s="30"/>
      <c r="BQ1108" s="30"/>
      <c r="BR1108" s="30"/>
      <c r="BS1108" s="30"/>
      <c r="BT1108" s="30"/>
      <c r="BU1108" s="30">
        <f>19.5/100000</f>
        <v>1.95E-4</v>
      </c>
      <c r="BV1108" s="30"/>
      <c r="BW1108" s="30"/>
      <c r="BX1108" s="30"/>
      <c r="BY1108" s="30"/>
      <c r="BZ1108" s="30"/>
      <c r="CA1108" s="30"/>
      <c r="CB1108" s="30"/>
      <c r="CC1108" s="30"/>
      <c r="CD1108" s="30"/>
      <c r="CE1108" s="30"/>
      <c r="CF1108" s="30"/>
      <c r="CG1108" s="30"/>
      <c r="CH1108" s="74"/>
    </row>
    <row r="1109" spans="1:86" x14ac:dyDescent="0.2">
      <c r="A1109" s="3" t="s">
        <v>37</v>
      </c>
      <c r="B1109" s="39">
        <v>968</v>
      </c>
      <c r="C1109" s="82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c r="AJ1109" s="30"/>
      <c r="AK1109" s="30"/>
      <c r="AL1109" s="30"/>
      <c r="AM1109" s="30"/>
      <c r="AN1109" s="30"/>
      <c r="AO1109" s="30"/>
      <c r="AP1109" s="30"/>
      <c r="AQ1109" s="30"/>
      <c r="AR1109" s="30"/>
      <c r="AS1109" s="30"/>
      <c r="AT1109" s="30"/>
      <c r="AU1109" s="30"/>
      <c r="AV1109" s="30"/>
      <c r="AW1109" s="30"/>
      <c r="AX1109" s="30"/>
      <c r="AY1109" s="30"/>
      <c r="AZ1109" s="30"/>
      <c r="BA1109" s="30">
        <f>5.1/100000</f>
        <v>5.1E-5</v>
      </c>
      <c r="BB1109" s="30"/>
      <c r="BC1109" s="30"/>
      <c r="BD1109" s="30"/>
      <c r="BE1109" s="30"/>
      <c r="BF1109" s="30"/>
      <c r="BG1109" s="30"/>
      <c r="BH1109" s="30"/>
      <c r="BI1109" s="30"/>
      <c r="BJ1109" s="30"/>
      <c r="BK1109" s="30"/>
      <c r="BL1109" s="30"/>
      <c r="BM1109" s="30"/>
      <c r="BN1109" s="30"/>
      <c r="BO1109" s="30"/>
      <c r="BP1109" s="30"/>
      <c r="BQ1109" s="30"/>
      <c r="BR1109" s="30"/>
      <c r="BS1109" s="30"/>
      <c r="BT1109" s="30"/>
      <c r="BU1109" s="30">
        <f>10.9/100000</f>
        <v>1.0900000000000001E-4</v>
      </c>
      <c r="BV1109" s="30"/>
      <c r="BW1109" s="30"/>
      <c r="BX1109" s="30"/>
      <c r="BY1109" s="30"/>
      <c r="BZ1109" s="30"/>
      <c r="CA1109" s="30"/>
      <c r="CB1109" s="30"/>
      <c r="CC1109" s="30"/>
      <c r="CD1109" s="30"/>
      <c r="CE1109" s="30"/>
      <c r="CF1109" s="30"/>
      <c r="CG1109" s="30"/>
      <c r="CH1109" s="74"/>
    </row>
    <row r="1110" spans="1:86" x14ac:dyDescent="0.2">
      <c r="A1110" s="3" t="s">
        <v>37</v>
      </c>
      <c r="B1110" s="39">
        <v>969</v>
      </c>
      <c r="C1110" s="82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c r="AJ1110" s="30"/>
      <c r="AK1110" s="30"/>
      <c r="AL1110" s="30"/>
      <c r="AM1110" s="30"/>
      <c r="AN1110" s="30"/>
      <c r="AO1110" s="30"/>
      <c r="AP1110" s="30"/>
      <c r="AQ1110" s="30"/>
      <c r="AR1110" s="30"/>
      <c r="AS1110" s="30"/>
      <c r="AT1110" s="30"/>
      <c r="AU1110" s="30"/>
      <c r="AV1110" s="30"/>
      <c r="AW1110" s="30"/>
      <c r="AX1110" s="30"/>
      <c r="AY1110" s="30"/>
      <c r="AZ1110" s="30"/>
      <c r="BA1110" s="30"/>
      <c r="BB1110" s="30"/>
      <c r="BC1110" s="30"/>
      <c r="BD1110" s="30"/>
      <c r="BE1110" s="30"/>
      <c r="BF1110" s="30"/>
      <c r="BG1110" s="30"/>
      <c r="BH1110" s="30"/>
      <c r="BI1110" s="30"/>
      <c r="BJ1110" s="30"/>
      <c r="BK1110" s="30"/>
      <c r="BL1110" s="30"/>
      <c r="BM1110" s="30"/>
      <c r="BN1110" s="30"/>
      <c r="BO1110" s="30">
        <f>6.8/100000</f>
        <v>6.7999999999999999E-5</v>
      </c>
      <c r="BP1110" s="30"/>
      <c r="BQ1110" s="30"/>
      <c r="BR1110" s="30"/>
      <c r="BS1110" s="30"/>
      <c r="BT1110" s="30">
        <f>15/100000</f>
        <v>1.4999999999999999E-4</v>
      </c>
      <c r="BU1110" s="30"/>
      <c r="BV1110" s="30"/>
      <c r="BW1110" s="30"/>
      <c r="BX1110" s="30"/>
      <c r="BY1110" s="30"/>
      <c r="BZ1110" s="30"/>
      <c r="CA1110" s="30"/>
      <c r="CB1110" s="30"/>
      <c r="CC1110" s="30"/>
      <c r="CD1110" s="30"/>
      <c r="CE1110" s="30"/>
      <c r="CF1110" s="30"/>
      <c r="CG1110" s="30"/>
      <c r="CH1110" s="74"/>
    </row>
    <row r="1111" spans="1:86" x14ac:dyDescent="0.2">
      <c r="A1111" s="3" t="s">
        <v>37</v>
      </c>
      <c r="B1111" s="39">
        <v>969</v>
      </c>
      <c r="C1111" s="82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c r="AJ1111" s="30"/>
      <c r="AK1111" s="30"/>
      <c r="AL1111" s="30"/>
      <c r="AM1111" s="30"/>
      <c r="AN1111" s="30"/>
      <c r="AO1111" s="30"/>
      <c r="AP1111" s="30"/>
      <c r="AQ1111" s="30"/>
      <c r="AR1111" s="30"/>
      <c r="AS1111" s="30"/>
      <c r="AT1111" s="30"/>
      <c r="AU1111" s="30"/>
      <c r="AV1111" s="30"/>
      <c r="AW1111" s="30"/>
      <c r="AX1111" s="30"/>
      <c r="AY1111" s="30"/>
      <c r="AZ1111" s="30"/>
      <c r="BA1111" s="30"/>
      <c r="BB1111" s="30"/>
      <c r="BC1111" s="30"/>
      <c r="BD1111" s="30"/>
      <c r="BE1111" s="30"/>
      <c r="BF1111" s="30"/>
      <c r="BG1111" s="30"/>
      <c r="BH1111" s="30"/>
      <c r="BI1111" s="30"/>
      <c r="BJ1111" s="30"/>
      <c r="BK1111" s="30"/>
      <c r="BL1111" s="30"/>
      <c r="BM1111" s="30"/>
      <c r="BN1111" s="30"/>
      <c r="BO1111" s="30">
        <f>4.1/100000</f>
        <v>4.0999999999999994E-5</v>
      </c>
      <c r="BP1111" s="30"/>
      <c r="BQ1111" s="30"/>
      <c r="BR1111" s="30"/>
      <c r="BS1111" s="30"/>
      <c r="BT1111" s="30">
        <f>10/100000</f>
        <v>1E-4</v>
      </c>
      <c r="BU1111" s="30"/>
      <c r="BV1111" s="30"/>
      <c r="BW1111" s="30"/>
      <c r="BX1111" s="30"/>
      <c r="BY1111" s="30"/>
      <c r="BZ1111" s="30"/>
      <c r="CA1111" s="30"/>
      <c r="CB1111" s="30"/>
      <c r="CC1111" s="30"/>
      <c r="CD1111" s="30"/>
      <c r="CE1111" s="30"/>
      <c r="CF1111" s="30"/>
      <c r="CG1111" s="30"/>
      <c r="CH1111" s="74"/>
    </row>
    <row r="1112" spans="1:86" x14ac:dyDescent="0.2">
      <c r="A1112" s="3" t="s">
        <v>37</v>
      </c>
      <c r="B1112" s="39">
        <v>970</v>
      </c>
      <c r="C1112" s="82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c r="AJ1112" s="30"/>
      <c r="AK1112" s="30"/>
      <c r="AL1112" s="30"/>
      <c r="AM1112" s="30"/>
      <c r="AN1112" s="30"/>
      <c r="AO1112" s="30"/>
      <c r="AP1112" s="30"/>
      <c r="AQ1112" s="30"/>
      <c r="AR1112" s="30"/>
      <c r="AS1112" s="30"/>
      <c r="AT1112" s="30"/>
      <c r="AU1112" s="30"/>
      <c r="AV1112" s="30"/>
      <c r="AW1112" s="30"/>
      <c r="AX1112" s="30"/>
      <c r="AY1112" s="30"/>
      <c r="AZ1112" s="30"/>
      <c r="BA1112" s="30"/>
      <c r="BB1112" s="30"/>
      <c r="BC1112" s="30"/>
      <c r="BD1112" s="30"/>
      <c r="BE1112" s="30">
        <f>15.7/100000</f>
        <v>1.5699999999999999E-4</v>
      </c>
      <c r="BF1112" s="30"/>
      <c r="BG1112" s="30"/>
      <c r="BH1112" s="30"/>
      <c r="BI1112" s="30"/>
      <c r="BJ1112" s="30"/>
      <c r="BK1112" s="30"/>
      <c r="BL1112" s="30"/>
      <c r="BM1112" s="30"/>
      <c r="BN1112" s="30"/>
      <c r="BO1112" s="30"/>
      <c r="BP1112" s="30"/>
      <c r="BQ1112" s="30"/>
      <c r="BR1112" s="30"/>
      <c r="BS1112" s="30"/>
      <c r="BT1112" s="30"/>
      <c r="BU1112" s="30"/>
      <c r="BV1112" s="30"/>
      <c r="BW1112" s="30">
        <f>11.9/100000</f>
        <v>1.1900000000000001E-4</v>
      </c>
      <c r="BX1112" s="30"/>
      <c r="BY1112" s="30"/>
      <c r="BZ1112" s="30"/>
      <c r="CA1112" s="30"/>
      <c r="CB1112" s="30"/>
      <c r="CC1112" s="30"/>
      <c r="CD1112" s="30"/>
      <c r="CE1112" s="30"/>
      <c r="CF1112" s="30"/>
      <c r="CG1112" s="30"/>
      <c r="CH1112" s="74"/>
    </row>
    <row r="1113" spans="1:86" x14ac:dyDescent="0.2">
      <c r="A1113" s="3" t="s">
        <v>37</v>
      </c>
      <c r="B1113" s="39">
        <v>970</v>
      </c>
      <c r="C1113" s="82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c r="AJ1113" s="30"/>
      <c r="AK1113" s="30"/>
      <c r="AL1113" s="30"/>
      <c r="AM1113" s="30"/>
      <c r="AN1113" s="30"/>
      <c r="AO1113" s="30"/>
      <c r="AP1113" s="30"/>
      <c r="AQ1113" s="30"/>
      <c r="AR1113" s="30"/>
      <c r="AS1113" s="30"/>
      <c r="AT1113" s="30"/>
      <c r="AU1113" s="30"/>
      <c r="AV1113" s="30"/>
      <c r="AW1113" s="30"/>
      <c r="AX1113" s="30"/>
      <c r="AY1113" s="30"/>
      <c r="AZ1113" s="30"/>
      <c r="BA1113" s="30"/>
      <c r="BB1113" s="30"/>
      <c r="BC1113" s="30"/>
      <c r="BD1113" s="30"/>
      <c r="BE1113" s="30">
        <f>2.7/100000</f>
        <v>2.7000000000000002E-5</v>
      </c>
      <c r="BF1113" s="30"/>
      <c r="BG1113" s="30"/>
      <c r="BH1113" s="30"/>
      <c r="BI1113" s="30"/>
      <c r="BJ1113" s="30"/>
      <c r="BK1113" s="30"/>
      <c r="BL1113" s="30"/>
      <c r="BM1113" s="30"/>
      <c r="BN1113" s="30"/>
      <c r="BO1113" s="30"/>
      <c r="BP1113" s="30"/>
      <c r="BQ1113" s="30"/>
      <c r="BR1113" s="30"/>
      <c r="BS1113" s="30"/>
      <c r="BT1113" s="30"/>
      <c r="BU1113" s="30"/>
      <c r="BV1113" s="30"/>
      <c r="BW1113" s="30">
        <f>3.2/100000</f>
        <v>3.1999999999999999E-5</v>
      </c>
      <c r="BX1113" s="30"/>
      <c r="BY1113" s="30"/>
      <c r="BZ1113" s="30"/>
      <c r="CA1113" s="30"/>
      <c r="CB1113" s="30"/>
      <c r="CC1113" s="30"/>
      <c r="CD1113" s="30"/>
      <c r="CE1113" s="30"/>
      <c r="CF1113" s="30"/>
      <c r="CG1113" s="30"/>
      <c r="CH1113" s="74"/>
    </row>
    <row r="1114" spans="1:86" x14ac:dyDescent="0.2">
      <c r="A1114" s="3" t="s">
        <v>37</v>
      </c>
      <c r="B1114" s="39">
        <v>971</v>
      </c>
      <c r="C1114" s="82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c r="AJ1114" s="30"/>
      <c r="AK1114" s="30"/>
      <c r="AL1114" s="30"/>
      <c r="AM1114" s="30"/>
      <c r="AN1114" s="30"/>
      <c r="AO1114" s="30"/>
      <c r="AP1114" s="30"/>
      <c r="AQ1114" s="30"/>
      <c r="AR1114" s="30"/>
      <c r="AS1114" s="30"/>
      <c r="AT1114" s="30"/>
      <c r="AU1114" s="30"/>
      <c r="AV1114" s="30"/>
      <c r="AW1114" s="30"/>
      <c r="AX1114" s="30"/>
      <c r="AY1114" s="30"/>
      <c r="AZ1114" s="30"/>
      <c r="BA1114" s="30"/>
      <c r="BB1114" s="30"/>
      <c r="BC1114" s="30"/>
      <c r="BD1114" s="30"/>
      <c r="BE1114" s="30"/>
      <c r="BF1114" s="30"/>
      <c r="BG1114" s="30"/>
      <c r="BH1114" s="30"/>
      <c r="BI1114" s="30"/>
      <c r="BJ1114" s="30"/>
      <c r="BK1114" s="30"/>
      <c r="BL1114" s="30"/>
      <c r="BM1114" s="30">
        <f>16/100000</f>
        <v>1.6000000000000001E-4</v>
      </c>
      <c r="BN1114" s="30"/>
      <c r="BO1114" s="30"/>
      <c r="BP1114" s="30"/>
      <c r="BQ1114" s="30"/>
      <c r="BR1114" s="30"/>
      <c r="BS1114" s="30"/>
      <c r="BT1114" s="30"/>
      <c r="BU1114" s="30"/>
      <c r="BV1114" s="30">
        <f>13.5/100000</f>
        <v>1.35E-4</v>
      </c>
      <c r="BW1114" s="30"/>
      <c r="BX1114" s="30"/>
      <c r="BY1114" s="30"/>
      <c r="BZ1114" s="30"/>
      <c r="CA1114" s="30"/>
      <c r="CB1114" s="30"/>
      <c r="CC1114" s="30"/>
      <c r="CD1114" s="30"/>
      <c r="CE1114" s="30"/>
      <c r="CF1114" s="30"/>
      <c r="CG1114" s="30"/>
      <c r="CH1114" s="74"/>
    </row>
    <row r="1115" spans="1:86" x14ac:dyDescent="0.2">
      <c r="A1115" s="3" t="s">
        <v>37</v>
      </c>
      <c r="B1115" s="39">
        <v>972</v>
      </c>
      <c r="C1115" s="82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c r="AJ1115" s="30"/>
      <c r="AK1115" s="30"/>
      <c r="AL1115" s="30"/>
      <c r="AM1115" s="30"/>
      <c r="AN1115" s="30"/>
      <c r="AO1115" s="30"/>
      <c r="AP1115" s="30"/>
      <c r="AQ1115" s="30"/>
      <c r="AR1115" s="30"/>
      <c r="AS1115" s="30"/>
      <c r="AT1115" s="30"/>
      <c r="AU1115" s="30"/>
      <c r="AV1115" s="30"/>
      <c r="AW1115" s="30"/>
      <c r="AX1115" s="30"/>
      <c r="AY1115" s="30"/>
      <c r="AZ1115" s="30"/>
      <c r="BA1115" s="30">
        <f>8.2/100000</f>
        <v>8.1999999999999987E-5</v>
      </c>
      <c r="BB1115" s="30"/>
      <c r="BC1115" s="30"/>
      <c r="BD1115" s="30"/>
      <c r="BE1115" s="30"/>
      <c r="BF1115" s="30"/>
      <c r="BG1115" s="30"/>
      <c r="BH1115" s="30"/>
      <c r="BI1115" s="30"/>
      <c r="BJ1115" s="30"/>
      <c r="BK1115" s="30"/>
      <c r="BL1115" s="30"/>
      <c r="BM1115" s="30"/>
      <c r="BN1115" s="30"/>
      <c r="BO1115" s="30"/>
      <c r="BP1115" s="30"/>
      <c r="BQ1115" s="30"/>
      <c r="BR1115" s="30"/>
      <c r="BS1115" s="30"/>
      <c r="BT1115" s="30">
        <f>6.5/100000</f>
        <v>6.4999999999999994E-5</v>
      </c>
      <c r="BU1115" s="30"/>
      <c r="BV1115" s="30"/>
      <c r="BW1115" s="30"/>
      <c r="BX1115" s="30"/>
      <c r="BY1115" s="30"/>
      <c r="BZ1115" s="30"/>
      <c r="CA1115" s="30"/>
      <c r="CB1115" s="30"/>
      <c r="CC1115" s="30"/>
      <c r="CD1115" s="30"/>
      <c r="CE1115" s="30"/>
      <c r="CF1115" s="30"/>
      <c r="CG1115" s="30"/>
      <c r="CH1115" s="74"/>
    </row>
    <row r="1116" spans="1:86" x14ac:dyDescent="0.2">
      <c r="A1116" s="3" t="s">
        <v>37</v>
      </c>
      <c r="B1116" s="39">
        <v>973</v>
      </c>
      <c r="C1116" s="82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c r="AJ1116" s="30"/>
      <c r="AK1116" s="30"/>
      <c r="AL1116" s="30"/>
      <c r="AM1116" s="30"/>
      <c r="AN1116" s="30"/>
      <c r="AO1116" s="30"/>
      <c r="AP1116" s="30"/>
      <c r="AQ1116" s="30"/>
      <c r="AR1116" s="30"/>
      <c r="AS1116" s="30"/>
      <c r="AT1116" s="30"/>
      <c r="AU1116" s="30"/>
      <c r="AV1116" s="30"/>
      <c r="AW1116" s="30"/>
      <c r="AX1116" s="30"/>
      <c r="AY1116" s="30"/>
      <c r="AZ1116" s="30"/>
      <c r="BA1116" s="30"/>
      <c r="BB1116" s="30"/>
      <c r="BC1116" s="30"/>
      <c r="BD1116" s="30"/>
      <c r="BE1116" s="30"/>
      <c r="BF1116" s="30"/>
      <c r="BG1116" s="30"/>
      <c r="BH1116" s="30"/>
      <c r="BI1116" s="30"/>
      <c r="BJ1116" s="30"/>
      <c r="BK1116" s="30"/>
      <c r="BL1116" s="30"/>
      <c r="BM1116" s="30"/>
      <c r="BN1116" s="30"/>
      <c r="BO1116" s="30">
        <f>15.5/100000</f>
        <v>1.55E-4</v>
      </c>
      <c r="BP1116" s="30">
        <f>14.8/100000</f>
        <v>1.4800000000000002E-4</v>
      </c>
      <c r="BQ1116" s="30">
        <f>13.6/100000</f>
        <v>1.36E-4</v>
      </c>
      <c r="BR1116" s="30">
        <f>13.5/100000</f>
        <v>1.35E-4</v>
      </c>
      <c r="BS1116" s="30">
        <f>14.4/100000</f>
        <v>1.44E-4</v>
      </c>
      <c r="BT1116" s="30">
        <f>13.9/100000</f>
        <v>1.3899999999999999E-4</v>
      </c>
      <c r="BU1116" s="30">
        <f>14.3/100000</f>
        <v>1.4300000000000001E-4</v>
      </c>
      <c r="BV1116" s="30">
        <f>14.8/100000</f>
        <v>1.4800000000000002E-4</v>
      </c>
      <c r="BW1116" s="30">
        <f>13.6/100000</f>
        <v>1.36E-4</v>
      </c>
      <c r="BX1116" s="30">
        <f>13.4/100000</f>
        <v>1.34E-4</v>
      </c>
      <c r="BY1116" s="30"/>
      <c r="BZ1116" s="30"/>
      <c r="CA1116" s="30"/>
      <c r="CB1116" s="30"/>
      <c r="CC1116" s="30"/>
      <c r="CD1116" s="30"/>
      <c r="CE1116" s="30"/>
      <c r="CF1116" s="30"/>
      <c r="CG1116" s="30"/>
      <c r="CH1116" s="74"/>
    </row>
    <row r="1117" spans="1:86" x14ac:dyDescent="0.2">
      <c r="A1117" s="3" t="s">
        <v>37</v>
      </c>
      <c r="B1117" s="39">
        <v>973</v>
      </c>
      <c r="C1117" s="82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c r="AJ1117" s="30"/>
      <c r="AK1117" s="30"/>
      <c r="AL1117" s="30"/>
      <c r="AM1117" s="30"/>
      <c r="AN1117" s="30"/>
      <c r="AO1117" s="30"/>
      <c r="AP1117" s="30"/>
      <c r="AQ1117" s="30"/>
      <c r="AR1117" s="30"/>
      <c r="AS1117" s="30"/>
      <c r="AT1117" s="30"/>
      <c r="AU1117" s="30"/>
      <c r="AV1117" s="30"/>
      <c r="AW1117" s="30"/>
      <c r="AX1117" s="30"/>
      <c r="AY1117" s="30"/>
      <c r="AZ1117" s="30"/>
      <c r="BA1117" s="30"/>
      <c r="BB1117" s="30"/>
      <c r="BC1117" s="30"/>
      <c r="BD1117" s="30"/>
      <c r="BE1117" s="30"/>
      <c r="BF1117" s="30"/>
      <c r="BG1117" s="30"/>
      <c r="BH1117" s="30"/>
      <c r="BI1117" s="30"/>
      <c r="BJ1117" s="30"/>
      <c r="BK1117" s="30"/>
      <c r="BL1117" s="30"/>
      <c r="BM1117" s="30"/>
      <c r="BN1117" s="30"/>
      <c r="BO1117" s="30">
        <f>26.4/100000</f>
        <v>2.6399999999999997E-4</v>
      </c>
      <c r="BP1117" s="30">
        <f>25.2/100000</f>
        <v>2.52E-4</v>
      </c>
      <c r="BQ1117" s="30">
        <f>23.6/100000</f>
        <v>2.3600000000000002E-4</v>
      </c>
      <c r="BR1117" s="30">
        <f>23.5/100000</f>
        <v>2.3499999999999999E-4</v>
      </c>
      <c r="BS1117" s="30">
        <f>25.2/100000</f>
        <v>2.52E-4</v>
      </c>
      <c r="BT1117" s="30">
        <f>23.4/100000</f>
        <v>2.34E-4</v>
      </c>
      <c r="BU1117" s="30">
        <f>21.3/100000</f>
        <v>2.13E-4</v>
      </c>
      <c r="BV1117" s="30">
        <f>23.6/100000</f>
        <v>2.3600000000000002E-4</v>
      </c>
      <c r="BW1117" s="30">
        <f>23.9/100000</f>
        <v>2.3899999999999998E-4</v>
      </c>
      <c r="BX1117" s="30">
        <f>21.8/100000</f>
        <v>2.1800000000000001E-4</v>
      </c>
      <c r="BY1117" s="30"/>
      <c r="BZ1117" s="30"/>
      <c r="CA1117" s="30"/>
      <c r="CB1117" s="30"/>
      <c r="CC1117" s="30"/>
      <c r="CD1117" s="30"/>
      <c r="CE1117" s="30"/>
      <c r="CF1117" s="30"/>
      <c r="CG1117" s="30"/>
      <c r="CH1117" s="74"/>
    </row>
    <row r="1118" spans="1:86" x14ac:dyDescent="0.2">
      <c r="A1118" s="3" t="s">
        <v>37</v>
      </c>
      <c r="B1118" s="39">
        <v>973</v>
      </c>
      <c r="C1118" s="82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c r="AJ1118" s="30"/>
      <c r="AK1118" s="30"/>
      <c r="AL1118" s="30"/>
      <c r="AM1118" s="30"/>
      <c r="AN1118" s="30"/>
      <c r="AO1118" s="30"/>
      <c r="AP1118" s="30"/>
      <c r="AQ1118" s="30"/>
      <c r="AR1118" s="30"/>
      <c r="AS1118" s="30"/>
      <c r="AT1118" s="30"/>
      <c r="AU1118" s="30"/>
      <c r="AV1118" s="30"/>
      <c r="AW1118" s="30"/>
      <c r="AX1118" s="30"/>
      <c r="AY1118" s="30"/>
      <c r="AZ1118" s="30"/>
      <c r="BA1118" s="30"/>
      <c r="BB1118" s="30"/>
      <c r="BC1118" s="30"/>
      <c r="BD1118" s="30"/>
      <c r="BE1118" s="30"/>
      <c r="BF1118" s="30"/>
      <c r="BG1118" s="30"/>
      <c r="BH1118" s="30"/>
      <c r="BI1118" s="30"/>
      <c r="BJ1118" s="30"/>
      <c r="BK1118" s="30"/>
      <c r="BL1118" s="30"/>
      <c r="BM1118" s="30"/>
      <c r="BN1118" s="30"/>
      <c r="BO1118" s="30">
        <f>30.9/100000</f>
        <v>3.0899999999999998E-4</v>
      </c>
      <c r="BP1118" s="30">
        <f>29.6/100000</f>
        <v>2.9600000000000004E-4</v>
      </c>
      <c r="BQ1118" s="30">
        <f>28.8/100000</f>
        <v>2.8800000000000001E-4</v>
      </c>
      <c r="BR1118" s="30">
        <f>27.8/100000</f>
        <v>2.7799999999999998E-4</v>
      </c>
      <c r="BS1118" s="30">
        <f>30.2/100000</f>
        <v>3.0199999999999997E-4</v>
      </c>
      <c r="BT1118" s="30">
        <f>30.7/100000</f>
        <v>3.0699999999999998E-4</v>
      </c>
      <c r="BU1118" s="30">
        <f>28.5/100000</f>
        <v>2.8499999999999999E-4</v>
      </c>
      <c r="BV1118" s="30">
        <f>32/100000</f>
        <v>3.2000000000000003E-4</v>
      </c>
      <c r="BW1118" s="30">
        <f>30.4/100000</f>
        <v>3.0399999999999996E-4</v>
      </c>
      <c r="BX1118" s="30">
        <f>32.1/100000</f>
        <v>3.21E-4</v>
      </c>
      <c r="BY1118" s="30"/>
      <c r="BZ1118" s="30"/>
      <c r="CA1118" s="30"/>
      <c r="CB1118" s="30"/>
      <c r="CC1118" s="30"/>
      <c r="CD1118" s="30"/>
      <c r="CE1118" s="30"/>
      <c r="CF1118" s="30"/>
      <c r="CG1118" s="30"/>
      <c r="CH1118" s="74"/>
    </row>
    <row r="1119" spans="1:86" x14ac:dyDescent="0.2">
      <c r="A1119" s="3" t="s">
        <v>37</v>
      </c>
      <c r="B1119" s="39">
        <v>973</v>
      </c>
      <c r="C1119" s="82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c r="AJ1119" s="30"/>
      <c r="AK1119" s="30"/>
      <c r="AL1119" s="30"/>
      <c r="AM1119" s="30"/>
      <c r="AN1119" s="30"/>
      <c r="AO1119" s="30"/>
      <c r="AP1119" s="30"/>
      <c r="AQ1119" s="30"/>
      <c r="AR1119" s="30"/>
      <c r="AS1119" s="30"/>
      <c r="AT1119" s="30"/>
      <c r="AU1119" s="30"/>
      <c r="AV1119" s="30"/>
      <c r="AW1119" s="30"/>
      <c r="AX1119" s="30"/>
      <c r="AY1119" s="30"/>
      <c r="AZ1119" s="30"/>
      <c r="BA1119" s="30"/>
      <c r="BB1119" s="30"/>
      <c r="BC1119" s="30"/>
      <c r="BD1119" s="30"/>
      <c r="BE1119" s="30"/>
      <c r="BF1119" s="30"/>
      <c r="BG1119" s="30"/>
      <c r="BH1119" s="30"/>
      <c r="BI1119" s="30"/>
      <c r="BJ1119" s="30"/>
      <c r="BK1119" s="30"/>
      <c r="BL1119" s="30"/>
      <c r="BM1119" s="30"/>
      <c r="BN1119" s="30"/>
      <c r="BO1119" s="30">
        <f>28.4/100000</f>
        <v>2.8399999999999996E-4</v>
      </c>
      <c r="BP1119" s="30">
        <f>28.5/100000</f>
        <v>2.8499999999999999E-4</v>
      </c>
      <c r="BQ1119" s="30">
        <f>28.1/100000</f>
        <v>2.81E-4</v>
      </c>
      <c r="BR1119" s="30">
        <f>25.8/100000</f>
        <v>2.5799999999999998E-4</v>
      </c>
      <c r="BS1119" s="30">
        <f>27.5/100000</f>
        <v>2.7500000000000002E-4</v>
      </c>
      <c r="BT1119" s="30">
        <f>27.8/100000</f>
        <v>2.7799999999999998E-4</v>
      </c>
      <c r="BU1119" s="30">
        <f>28.2/100000</f>
        <v>2.8199999999999997E-4</v>
      </c>
      <c r="BV1119" s="30">
        <f>31/100000</f>
        <v>3.1E-4</v>
      </c>
      <c r="BW1119" s="30">
        <f>32/100000</f>
        <v>3.2000000000000003E-4</v>
      </c>
      <c r="BX1119" s="30">
        <f>32.1/100000</f>
        <v>3.21E-4</v>
      </c>
      <c r="BY1119" s="30"/>
      <c r="BZ1119" s="30"/>
      <c r="CA1119" s="30"/>
      <c r="CB1119" s="30"/>
      <c r="CC1119" s="30"/>
      <c r="CD1119" s="30"/>
      <c r="CE1119" s="30"/>
      <c r="CF1119" s="30"/>
      <c r="CG1119" s="30"/>
      <c r="CH1119" s="74"/>
    </row>
    <row r="1120" spans="1:86" x14ac:dyDescent="0.2">
      <c r="A1120" s="3" t="s">
        <v>37</v>
      </c>
      <c r="B1120" s="39">
        <v>973</v>
      </c>
      <c r="C1120" s="82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  <c r="AZ1120" s="30"/>
      <c r="BA1120" s="30"/>
      <c r="BB1120" s="30"/>
      <c r="BC1120" s="30"/>
      <c r="BD1120" s="30"/>
      <c r="BE1120" s="30"/>
      <c r="BF1120" s="30"/>
      <c r="BG1120" s="30"/>
      <c r="BH1120" s="30"/>
      <c r="BI1120" s="30"/>
      <c r="BJ1120" s="30"/>
      <c r="BK1120" s="30"/>
      <c r="BL1120" s="30"/>
      <c r="BM1120" s="30"/>
      <c r="BN1120" s="30"/>
      <c r="BO1120" s="30">
        <f>20.5/100000</f>
        <v>2.05E-4</v>
      </c>
      <c r="BP1120" s="30">
        <f>21.5/100000</f>
        <v>2.1499999999999999E-4</v>
      </c>
      <c r="BQ1120" s="30">
        <f>23/100000</f>
        <v>2.3000000000000001E-4</v>
      </c>
      <c r="BR1120" s="30">
        <f>20.9/100000</f>
        <v>2.0899999999999998E-4</v>
      </c>
      <c r="BS1120" s="30">
        <f>21.2/100000</f>
        <v>2.12E-4</v>
      </c>
      <c r="BT1120" s="30">
        <f>21.6/100000</f>
        <v>2.1600000000000002E-4</v>
      </c>
      <c r="BU1120" s="30">
        <f>22.6/100000</f>
        <v>2.2600000000000002E-4</v>
      </c>
      <c r="BV1120" s="30">
        <f>22.1/100000</f>
        <v>2.2100000000000001E-4</v>
      </c>
      <c r="BW1120" s="30">
        <f>22.4/100000</f>
        <v>2.24E-4</v>
      </c>
      <c r="BX1120" s="30">
        <f>26/100000</f>
        <v>2.5999999999999998E-4</v>
      </c>
      <c r="BY1120" s="30"/>
      <c r="BZ1120" s="30"/>
      <c r="CA1120" s="30"/>
      <c r="CB1120" s="30"/>
      <c r="CC1120" s="30"/>
      <c r="CD1120" s="30"/>
      <c r="CE1120" s="30"/>
      <c r="CF1120" s="30"/>
      <c r="CG1120" s="30"/>
      <c r="CH1120" s="74"/>
    </row>
    <row r="1121" spans="1:86" x14ac:dyDescent="0.2">
      <c r="A1121" s="3" t="s">
        <v>37</v>
      </c>
      <c r="B1121" s="39">
        <v>974</v>
      </c>
      <c r="C1121" s="82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>
        <f>17/100000</f>
        <v>1.7000000000000001E-4</v>
      </c>
      <c r="AG1121" s="30"/>
      <c r="AH1121" s="30"/>
      <c r="AI1121" s="30"/>
      <c r="AJ1121" s="30"/>
      <c r="AK1121" s="30"/>
      <c r="AL1121" s="30"/>
      <c r="AM1121" s="30"/>
      <c r="AN1121" s="30"/>
      <c r="AO1121" s="30"/>
      <c r="AP1121" s="30"/>
      <c r="AQ1121" s="30"/>
      <c r="AR1121" s="30"/>
      <c r="AS1121" s="30"/>
      <c r="AT1121" s="30"/>
      <c r="AU1121" s="30"/>
      <c r="AV1121" s="30"/>
      <c r="AW1121" s="30"/>
      <c r="AX1121" s="30"/>
      <c r="AY1121" s="30">
        <f>30/100000</f>
        <v>2.9999999999999997E-4</v>
      </c>
      <c r="AZ1121" s="30"/>
      <c r="BA1121" s="30"/>
      <c r="BB1121" s="30"/>
      <c r="BC1121" s="30"/>
      <c r="BD1121" s="30"/>
      <c r="BE1121" s="30">
        <f>23/100000</f>
        <v>2.3000000000000001E-4</v>
      </c>
      <c r="BF1121" s="30"/>
      <c r="BG1121" s="30"/>
      <c r="BH1121" s="30"/>
      <c r="BI1121" s="30"/>
      <c r="BJ1121" s="30"/>
      <c r="BK1121" s="30"/>
      <c r="BL1121" s="30"/>
      <c r="BM1121" s="30"/>
      <c r="BN1121" s="30"/>
      <c r="BO1121" s="30"/>
      <c r="BP1121" s="30"/>
      <c r="BQ1121" s="30"/>
      <c r="BR1121" s="30"/>
      <c r="BS1121" s="30"/>
      <c r="BT1121" s="30"/>
      <c r="BU1121" s="30"/>
      <c r="BV1121" s="30">
        <f>17/100000</f>
        <v>1.7000000000000001E-4</v>
      </c>
      <c r="BW1121" s="30"/>
      <c r="BX1121" s="30"/>
      <c r="BY1121" s="30"/>
      <c r="BZ1121" s="30"/>
      <c r="CA1121" s="30"/>
      <c r="CB1121" s="30"/>
      <c r="CC1121" s="30"/>
      <c r="CD1121" s="30"/>
      <c r="CE1121" s="30"/>
      <c r="CF1121" s="30"/>
      <c r="CG1121" s="30"/>
      <c r="CH1121" s="74"/>
    </row>
    <row r="1122" spans="1:86" x14ac:dyDescent="0.2">
      <c r="A1122" s="3" t="s">
        <v>37</v>
      </c>
      <c r="B1122" s="39">
        <v>974</v>
      </c>
      <c r="C1122" s="82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>
        <f>4.9/100000</f>
        <v>4.9000000000000005E-5</v>
      </c>
      <c r="AG1122" s="30"/>
      <c r="AH1122" s="30"/>
      <c r="AI1122" s="30"/>
      <c r="AJ1122" s="30"/>
      <c r="AK1122" s="30"/>
      <c r="AL1122" s="30"/>
      <c r="AM1122" s="30"/>
      <c r="AN1122" s="30"/>
      <c r="AO1122" s="30"/>
      <c r="AP1122" s="30"/>
      <c r="AQ1122" s="30"/>
      <c r="AR1122" s="30"/>
      <c r="AS1122" s="30"/>
      <c r="AT1122" s="30"/>
      <c r="AU1122" s="30"/>
      <c r="AV1122" s="30"/>
      <c r="AW1122" s="30"/>
      <c r="AX1122" s="30"/>
      <c r="AY1122" s="30">
        <f>10/100000</f>
        <v>1E-4</v>
      </c>
      <c r="AZ1122" s="30"/>
      <c r="BA1122" s="30"/>
      <c r="BB1122" s="30"/>
      <c r="BC1122" s="30"/>
      <c r="BD1122" s="30"/>
      <c r="BE1122" s="30">
        <f>6/100000</f>
        <v>6.0000000000000002E-5</v>
      </c>
      <c r="BF1122" s="30"/>
      <c r="BG1122" s="30"/>
      <c r="BH1122" s="30"/>
      <c r="BI1122" s="30"/>
      <c r="BJ1122" s="30"/>
      <c r="BK1122" s="30"/>
      <c r="BL1122" s="30"/>
      <c r="BM1122" s="30"/>
      <c r="BN1122" s="30"/>
      <c r="BO1122" s="30"/>
      <c r="BP1122" s="30"/>
      <c r="BQ1122" s="30"/>
      <c r="BR1122" s="30"/>
      <c r="BS1122" s="30"/>
      <c r="BT1122" s="30"/>
      <c r="BU1122" s="30"/>
      <c r="BV1122" s="30">
        <f>6/100000</f>
        <v>6.0000000000000002E-5</v>
      </c>
      <c r="BW1122" s="30"/>
      <c r="BX1122" s="30"/>
      <c r="BY1122" s="30"/>
      <c r="BZ1122" s="30"/>
      <c r="CA1122" s="30"/>
      <c r="CB1122" s="30"/>
      <c r="CC1122" s="30"/>
      <c r="CD1122" s="30"/>
      <c r="CE1122" s="30"/>
      <c r="CF1122" s="30"/>
      <c r="CG1122" s="30"/>
      <c r="CH1122" s="74"/>
    </row>
    <row r="1123" spans="1:86" x14ac:dyDescent="0.2">
      <c r="A1123" s="3" t="s">
        <v>37</v>
      </c>
      <c r="B1123" s="39">
        <v>975</v>
      </c>
      <c r="C1123" s="82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c r="AJ1123" s="30"/>
      <c r="AK1123" s="30"/>
      <c r="AL1123" s="30"/>
      <c r="AM1123" s="30"/>
      <c r="AN1123" s="30"/>
      <c r="AO1123" s="30"/>
      <c r="AP1123" s="30"/>
      <c r="AQ1123" s="30"/>
      <c r="AR1123" s="30"/>
      <c r="AS1123" s="30"/>
      <c r="AT1123" s="30"/>
      <c r="AU1123" s="30"/>
      <c r="AV1123" s="30"/>
      <c r="AW1123" s="30"/>
      <c r="AX1123" s="30"/>
      <c r="AY1123" s="30"/>
      <c r="AZ1123" s="30"/>
      <c r="BA1123" s="30"/>
      <c r="BB1123" s="30"/>
      <c r="BC1123" s="30"/>
      <c r="BD1123" s="30"/>
      <c r="BE1123" s="30"/>
      <c r="BF1123" s="30"/>
      <c r="BG1123" s="30"/>
      <c r="BH1123" s="30"/>
      <c r="BI1123" s="30"/>
      <c r="BJ1123" s="30"/>
      <c r="BK1123" s="30"/>
      <c r="BL1123" s="30"/>
      <c r="BM1123" s="30"/>
      <c r="BN1123" s="30"/>
      <c r="BO1123" s="30"/>
      <c r="BP1123" s="30"/>
      <c r="BQ1123" s="30"/>
      <c r="BR1123" s="30">
        <f>11.4/100000</f>
        <v>1.1400000000000001E-4</v>
      </c>
      <c r="BS1123" s="30"/>
      <c r="BT1123" s="30"/>
      <c r="BU1123" s="30"/>
      <c r="BV1123" s="30">
        <f>12.6/100000</f>
        <v>1.26E-4</v>
      </c>
      <c r="BW1123" s="30"/>
      <c r="BX1123" s="30"/>
      <c r="BY1123" s="30"/>
      <c r="BZ1123" s="30"/>
      <c r="CA1123" s="30"/>
      <c r="CB1123" s="30"/>
      <c r="CC1123" s="30"/>
      <c r="CD1123" s="30"/>
      <c r="CE1123" s="30"/>
      <c r="CF1123" s="30"/>
      <c r="CG1123" s="30"/>
      <c r="CH1123" s="74"/>
    </row>
    <row r="1124" spans="1:86" x14ac:dyDescent="0.2">
      <c r="A1124" s="3" t="s">
        <v>37</v>
      </c>
      <c r="B1124" s="39">
        <v>976</v>
      </c>
      <c r="C1124" s="82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c r="AJ1124" s="30"/>
      <c r="AK1124" s="30"/>
      <c r="AL1124" s="30"/>
      <c r="AM1124" s="30"/>
      <c r="AN1124" s="30"/>
      <c r="AO1124" s="30"/>
      <c r="AP1124" s="30"/>
      <c r="AQ1124" s="30"/>
      <c r="AR1124" s="30"/>
      <c r="AS1124" s="30"/>
      <c r="AT1124" s="30"/>
      <c r="AU1124" s="30"/>
      <c r="AV1124" s="30"/>
      <c r="AW1124" s="30"/>
      <c r="AX1124" s="30"/>
      <c r="AY1124" s="30"/>
      <c r="AZ1124" s="30"/>
      <c r="BA1124" s="30"/>
      <c r="BB1124" s="30"/>
      <c r="BC1124" s="30"/>
      <c r="BD1124" s="30"/>
      <c r="BE1124" s="30"/>
      <c r="BF1124" s="30"/>
      <c r="BG1124" s="30"/>
      <c r="BH1124" s="30"/>
      <c r="BI1124" s="30"/>
      <c r="BJ1124" s="30"/>
      <c r="BK1124" s="30"/>
      <c r="BL1124" s="30">
        <f>6.1/100000</f>
        <v>6.0999999999999999E-5</v>
      </c>
      <c r="BM1124" s="30"/>
      <c r="BN1124" s="30"/>
      <c r="BO1124" s="30"/>
      <c r="BP1124" s="30"/>
      <c r="BQ1124" s="30"/>
      <c r="BR1124" s="30"/>
      <c r="BS1124" s="30"/>
      <c r="BT1124" s="30"/>
      <c r="BU1124" s="30"/>
      <c r="BV1124" s="30"/>
      <c r="BW1124" s="30"/>
      <c r="BX1124" s="30"/>
      <c r="BY1124" s="30">
        <f>4.6/100000</f>
        <v>4.5999999999999993E-5</v>
      </c>
      <c r="BZ1124" s="30"/>
      <c r="CA1124" s="30"/>
      <c r="CB1124" s="30"/>
      <c r="CC1124" s="30"/>
      <c r="CD1124" s="30"/>
      <c r="CE1124" s="30"/>
      <c r="CF1124" s="30"/>
      <c r="CG1124" s="30"/>
      <c r="CH1124" s="74"/>
    </row>
    <row r="1125" spans="1:86" x14ac:dyDescent="0.2">
      <c r="A1125" s="3" t="s">
        <v>37</v>
      </c>
      <c r="B1125" s="39">
        <v>977</v>
      </c>
      <c r="C1125" s="82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c r="AJ1125" s="30"/>
      <c r="AK1125" s="30"/>
      <c r="AL1125" s="30"/>
      <c r="AM1125" s="30"/>
      <c r="AN1125" s="30"/>
      <c r="AO1125" s="30"/>
      <c r="AP1125" s="30"/>
      <c r="AQ1125" s="30"/>
      <c r="AR1125" s="30"/>
      <c r="AS1125" s="30"/>
      <c r="AT1125" s="30"/>
      <c r="AU1125" s="30"/>
      <c r="AV1125" s="30"/>
      <c r="AW1125" s="30"/>
      <c r="AX1125" s="30"/>
      <c r="AY1125" s="30"/>
      <c r="AZ1125" s="30"/>
      <c r="BA1125" s="30"/>
      <c r="BB1125" s="30"/>
      <c r="BC1125" s="30"/>
      <c r="BD1125" s="30"/>
      <c r="BE1125" s="30"/>
      <c r="BF1125" s="30"/>
      <c r="BG1125" s="30"/>
      <c r="BH1125" s="30"/>
      <c r="BI1125" s="30"/>
      <c r="BJ1125" s="30"/>
      <c r="BK1125" s="30"/>
      <c r="BL1125" s="30"/>
      <c r="BM1125" s="30"/>
      <c r="BN1125" s="30"/>
      <c r="BO1125" s="30"/>
      <c r="BP1125" s="30">
        <f>10/100000</f>
        <v>1E-4</v>
      </c>
      <c r="BQ1125" s="30"/>
      <c r="BR1125" s="30"/>
      <c r="BS1125" s="30"/>
      <c r="BT1125" s="30"/>
      <c r="BU1125" s="30"/>
      <c r="BV1125" s="30"/>
      <c r="BW1125" s="30"/>
      <c r="BX1125" s="30"/>
      <c r="BY1125" s="30"/>
      <c r="BZ1125" s="30">
        <f>11/100000</f>
        <v>1.1E-4</v>
      </c>
      <c r="CA1125" s="30"/>
      <c r="CB1125" s="30"/>
      <c r="CC1125" s="30"/>
      <c r="CD1125" s="30"/>
      <c r="CE1125" s="30"/>
      <c r="CF1125" s="30"/>
      <c r="CG1125" s="30"/>
      <c r="CH1125" s="74"/>
    </row>
    <row r="1126" spans="1:86" x14ac:dyDescent="0.2">
      <c r="A1126" s="3" t="s">
        <v>37</v>
      </c>
      <c r="B1126" s="39">
        <v>977</v>
      </c>
      <c r="C1126" s="82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c r="AJ1126" s="30"/>
      <c r="AK1126" s="30"/>
      <c r="AL1126" s="30"/>
      <c r="AM1126" s="30"/>
      <c r="AN1126" s="30"/>
      <c r="AO1126" s="30"/>
      <c r="AP1126" s="30"/>
      <c r="AQ1126" s="30"/>
      <c r="AR1126" s="30"/>
      <c r="AS1126" s="30"/>
      <c r="AT1126" s="30"/>
      <c r="AU1126" s="30"/>
      <c r="AV1126" s="30"/>
      <c r="AW1126" s="30"/>
      <c r="AX1126" s="30"/>
      <c r="AY1126" s="30"/>
      <c r="AZ1126" s="30"/>
      <c r="BA1126" s="30"/>
      <c r="BB1126" s="30"/>
      <c r="BC1126" s="30"/>
      <c r="BD1126" s="30"/>
      <c r="BE1126" s="30"/>
      <c r="BF1126" s="30"/>
      <c r="BG1126" s="30"/>
      <c r="BH1126" s="30"/>
      <c r="BI1126" s="30"/>
      <c r="BJ1126" s="30"/>
      <c r="BK1126" s="30"/>
      <c r="BL1126" s="30"/>
      <c r="BM1126" s="30"/>
      <c r="BN1126" s="30"/>
      <c r="BO1126" s="30"/>
      <c r="BP1126" s="30">
        <f>11/100000</f>
        <v>1.1E-4</v>
      </c>
      <c r="BQ1126" s="30"/>
      <c r="BR1126" s="30"/>
      <c r="BS1126" s="30"/>
      <c r="BT1126" s="30"/>
      <c r="BU1126" s="30"/>
      <c r="BV1126" s="30"/>
      <c r="BW1126" s="30"/>
      <c r="BX1126" s="30"/>
      <c r="BY1126" s="30"/>
      <c r="BZ1126" s="30">
        <f>12/100000</f>
        <v>1.2E-4</v>
      </c>
      <c r="CA1126" s="30"/>
      <c r="CB1126" s="30"/>
      <c r="CC1126" s="30"/>
      <c r="CD1126" s="30"/>
      <c r="CE1126" s="30"/>
      <c r="CF1126" s="30"/>
      <c r="CG1126" s="30"/>
      <c r="CH1126" s="74"/>
    </row>
    <row r="1127" spans="1:86" x14ac:dyDescent="0.2">
      <c r="A1127" s="3" t="s">
        <v>37</v>
      </c>
      <c r="B1127" s="39">
        <v>977</v>
      </c>
      <c r="C1127" s="82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c r="AJ1127" s="30"/>
      <c r="AK1127" s="30"/>
      <c r="AL1127" s="30"/>
      <c r="AM1127" s="30"/>
      <c r="AN1127" s="30"/>
      <c r="AO1127" s="30"/>
      <c r="AP1127" s="30"/>
      <c r="AQ1127" s="30"/>
      <c r="AR1127" s="30"/>
      <c r="AS1127" s="30"/>
      <c r="AT1127" s="30"/>
      <c r="AU1127" s="30"/>
      <c r="AV1127" s="30"/>
      <c r="AW1127" s="30"/>
      <c r="AX1127" s="30"/>
      <c r="AY1127" s="30"/>
      <c r="AZ1127" s="30"/>
      <c r="BA1127" s="30"/>
      <c r="BB1127" s="30"/>
      <c r="BC1127" s="30"/>
      <c r="BD1127" s="30"/>
      <c r="BE1127" s="30"/>
      <c r="BF1127" s="30"/>
      <c r="BG1127" s="30"/>
      <c r="BH1127" s="30"/>
      <c r="BI1127" s="30"/>
      <c r="BJ1127" s="30"/>
      <c r="BK1127" s="30"/>
      <c r="BL1127" s="30"/>
      <c r="BM1127" s="30"/>
      <c r="BN1127" s="30"/>
      <c r="BO1127" s="30"/>
      <c r="BP1127" s="30">
        <f>13/100000</f>
        <v>1.2999999999999999E-4</v>
      </c>
      <c r="BQ1127" s="30"/>
      <c r="BR1127" s="30"/>
      <c r="BS1127" s="30"/>
      <c r="BT1127" s="30"/>
      <c r="BU1127" s="30"/>
      <c r="BV1127" s="30"/>
      <c r="BW1127" s="30"/>
      <c r="BX1127" s="30"/>
      <c r="BY1127" s="30"/>
      <c r="BZ1127" s="30">
        <f>15/100000</f>
        <v>1.4999999999999999E-4</v>
      </c>
      <c r="CA1127" s="30"/>
      <c r="CB1127" s="30"/>
      <c r="CC1127" s="30"/>
      <c r="CD1127" s="30"/>
      <c r="CE1127" s="30"/>
      <c r="CF1127" s="30"/>
      <c r="CG1127" s="30"/>
      <c r="CH1127" s="74"/>
    </row>
    <row r="1128" spans="1:86" x14ac:dyDescent="0.2">
      <c r="A1128" s="3" t="s">
        <v>37</v>
      </c>
      <c r="B1128" s="39">
        <v>977</v>
      </c>
      <c r="C1128" s="82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30"/>
      <c r="AK1128" s="30"/>
      <c r="AL1128" s="30"/>
      <c r="AM1128" s="30"/>
      <c r="AN1128" s="30"/>
      <c r="AO1128" s="30"/>
      <c r="AP1128" s="30"/>
      <c r="AQ1128" s="30"/>
      <c r="AR1128" s="30"/>
      <c r="AS1128" s="30"/>
      <c r="AT1128" s="30"/>
      <c r="AU1128" s="30"/>
      <c r="AV1128" s="30"/>
      <c r="AW1128" s="30"/>
      <c r="AX1128" s="30"/>
      <c r="AY1128" s="30"/>
      <c r="AZ1128" s="30"/>
      <c r="BA1128" s="30"/>
      <c r="BB1128" s="30"/>
      <c r="BC1128" s="30"/>
      <c r="BD1128" s="30"/>
      <c r="BE1128" s="30"/>
      <c r="BF1128" s="30"/>
      <c r="BG1128" s="30"/>
      <c r="BH1128" s="30"/>
      <c r="BI1128" s="30"/>
      <c r="BJ1128" s="30"/>
      <c r="BK1128" s="30"/>
      <c r="BL1128" s="30"/>
      <c r="BM1128" s="30"/>
      <c r="BN1128" s="30"/>
      <c r="BO1128" s="30"/>
      <c r="BP1128" s="30">
        <f>14/100000</f>
        <v>1.3999999999999999E-4</v>
      </c>
      <c r="BQ1128" s="30"/>
      <c r="BR1128" s="30"/>
      <c r="BS1128" s="30"/>
      <c r="BT1128" s="30"/>
      <c r="BU1128" s="30"/>
      <c r="BV1128" s="30"/>
      <c r="BW1128" s="30"/>
      <c r="BX1128" s="30"/>
      <c r="BY1128" s="30"/>
      <c r="BZ1128" s="30">
        <f>16/100000</f>
        <v>1.6000000000000001E-4</v>
      </c>
      <c r="CA1128" s="30"/>
      <c r="CB1128" s="30"/>
      <c r="CC1128" s="30"/>
      <c r="CD1128" s="30"/>
      <c r="CE1128" s="30"/>
      <c r="CF1128" s="30"/>
      <c r="CG1128" s="30"/>
      <c r="CH1128" s="74"/>
    </row>
    <row r="1129" spans="1:86" x14ac:dyDescent="0.2">
      <c r="A1129" s="3" t="s">
        <v>37</v>
      </c>
      <c r="B1129" s="39">
        <v>977</v>
      </c>
      <c r="C1129" s="82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30"/>
      <c r="AK1129" s="30"/>
      <c r="AL1129" s="30"/>
      <c r="AM1129" s="30"/>
      <c r="AN1129" s="30"/>
      <c r="AO1129" s="30"/>
      <c r="AP1129" s="30"/>
      <c r="AQ1129" s="30"/>
      <c r="AR1129" s="30"/>
      <c r="AS1129" s="30"/>
      <c r="AT1129" s="30"/>
      <c r="AU1129" s="30"/>
      <c r="AV1129" s="30"/>
      <c r="AW1129" s="30"/>
      <c r="AX1129" s="30"/>
      <c r="AY1129" s="30"/>
      <c r="AZ1129" s="30"/>
      <c r="BA1129" s="30"/>
      <c r="BB1129" s="30"/>
      <c r="BC1129" s="30"/>
      <c r="BD1129" s="30"/>
      <c r="BE1129" s="30"/>
      <c r="BF1129" s="30"/>
      <c r="BG1129" s="30"/>
      <c r="BH1129" s="30"/>
      <c r="BI1129" s="30"/>
      <c r="BJ1129" s="30"/>
      <c r="BK1129" s="30"/>
      <c r="BL1129" s="30"/>
      <c r="BM1129" s="30"/>
      <c r="BN1129" s="30"/>
      <c r="BO1129" s="30"/>
      <c r="BP1129" s="30">
        <f>14/100000</f>
        <v>1.3999999999999999E-4</v>
      </c>
      <c r="BQ1129" s="30"/>
      <c r="BR1129" s="30"/>
      <c r="BS1129" s="30"/>
      <c r="BT1129" s="30"/>
      <c r="BU1129" s="30"/>
      <c r="BV1129" s="30"/>
      <c r="BW1129" s="30"/>
      <c r="BX1129" s="30"/>
      <c r="BY1129" s="30"/>
      <c r="BZ1129" s="30">
        <f>17/100000</f>
        <v>1.7000000000000001E-4</v>
      </c>
      <c r="CA1129" s="30"/>
      <c r="CB1129" s="30"/>
      <c r="CC1129" s="30"/>
      <c r="CD1129" s="30"/>
      <c r="CE1129" s="30"/>
      <c r="CF1129" s="30"/>
      <c r="CG1129" s="30"/>
      <c r="CH1129" s="74"/>
    </row>
    <row r="1130" spans="1:86" x14ac:dyDescent="0.2">
      <c r="A1130" s="3" t="s">
        <v>37</v>
      </c>
      <c r="B1130" s="39">
        <v>977</v>
      </c>
      <c r="C1130" s="82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c r="AJ1130" s="30"/>
      <c r="AK1130" s="30"/>
      <c r="AL1130" s="30"/>
      <c r="AM1130" s="30"/>
      <c r="AN1130" s="30"/>
      <c r="AO1130" s="30"/>
      <c r="AP1130" s="30"/>
      <c r="AQ1130" s="30"/>
      <c r="AR1130" s="30"/>
      <c r="AS1130" s="30"/>
      <c r="AT1130" s="30"/>
      <c r="AU1130" s="30"/>
      <c r="AV1130" s="30"/>
      <c r="AW1130" s="30"/>
      <c r="AX1130" s="30"/>
      <c r="AY1130" s="30"/>
      <c r="AZ1130" s="30"/>
      <c r="BA1130" s="30"/>
      <c r="BB1130" s="30"/>
      <c r="BC1130" s="30"/>
      <c r="BD1130" s="30"/>
      <c r="BE1130" s="30"/>
      <c r="BF1130" s="30"/>
      <c r="BG1130" s="30"/>
      <c r="BH1130" s="30"/>
      <c r="BI1130" s="30"/>
      <c r="BJ1130" s="30"/>
      <c r="BK1130" s="30"/>
      <c r="BL1130" s="30"/>
      <c r="BM1130" s="30"/>
      <c r="BN1130" s="30"/>
      <c r="BO1130" s="30"/>
      <c r="BP1130" s="30">
        <f>16/100000</f>
        <v>1.6000000000000001E-4</v>
      </c>
      <c r="BQ1130" s="30"/>
      <c r="BR1130" s="30"/>
      <c r="BS1130" s="30"/>
      <c r="BT1130" s="30"/>
      <c r="BU1130" s="30"/>
      <c r="BV1130" s="30"/>
      <c r="BW1130" s="30"/>
      <c r="BX1130" s="30"/>
      <c r="BY1130" s="30"/>
      <c r="BZ1130" s="30">
        <f>19/100000</f>
        <v>1.9000000000000001E-4</v>
      </c>
      <c r="CA1130" s="30"/>
      <c r="CB1130" s="30"/>
      <c r="CC1130" s="30"/>
      <c r="CD1130" s="30"/>
      <c r="CE1130" s="30"/>
      <c r="CF1130" s="30"/>
      <c r="CG1130" s="30"/>
      <c r="CH1130" s="74"/>
    </row>
    <row r="1131" spans="1:86" x14ac:dyDescent="0.2">
      <c r="A1131" s="3" t="s">
        <v>37</v>
      </c>
      <c r="B1131" s="39">
        <v>978</v>
      </c>
      <c r="C1131" s="82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c r="AJ1131" s="30"/>
      <c r="AK1131" s="30"/>
      <c r="AL1131" s="30"/>
      <c r="AM1131" s="30"/>
      <c r="AN1131" s="30"/>
      <c r="AO1131" s="30"/>
      <c r="AP1131" s="30"/>
      <c r="AQ1131" s="30"/>
      <c r="AR1131" s="30"/>
      <c r="AS1131" s="30"/>
      <c r="AT1131" s="30"/>
      <c r="AU1131" s="30"/>
      <c r="AV1131" s="30"/>
      <c r="AW1131" s="30"/>
      <c r="AX1131" s="30"/>
      <c r="AY1131" s="30"/>
      <c r="AZ1131" s="30"/>
      <c r="BA1131" s="30"/>
      <c r="BB1131" s="30"/>
      <c r="BC1131" s="30"/>
      <c r="BD1131" s="30"/>
      <c r="BE1131" s="30"/>
      <c r="BF1131" s="30"/>
      <c r="BG1131" s="30"/>
      <c r="BH1131" s="30"/>
      <c r="BI1131" s="30"/>
      <c r="BJ1131" s="30"/>
      <c r="BK1131" s="30"/>
      <c r="BL1131" s="30"/>
      <c r="BM1131" s="30"/>
      <c r="BN1131" s="30"/>
      <c r="BO1131" s="30"/>
      <c r="BP1131" s="30"/>
      <c r="BQ1131" s="30"/>
      <c r="BR1131" s="30"/>
      <c r="BS1131" s="30">
        <f>9.3/100000</f>
        <v>9.3000000000000011E-5</v>
      </c>
      <c r="BT1131" s="30">
        <f>9.58/100000</f>
        <v>9.5799999999999998E-5</v>
      </c>
      <c r="BU1131" s="30">
        <f>10.17/100000</f>
        <v>1.0170000000000001E-4</v>
      </c>
      <c r="BV1131" s="30">
        <f>10.76/100000</f>
        <v>1.076E-4</v>
      </c>
      <c r="BW1131" s="30">
        <f>10.5/100000</f>
        <v>1.05E-4</v>
      </c>
      <c r="BX1131" s="30">
        <f>10.3/100000</f>
        <v>1.0300000000000001E-4</v>
      </c>
      <c r="BY1131" s="30">
        <f>10.78/100000</f>
        <v>1.0779999999999999E-4</v>
      </c>
      <c r="BZ1131" s="30">
        <f>12.7/100000</f>
        <v>1.27E-4</v>
      </c>
      <c r="CA1131" s="30">
        <f>12.11/100000</f>
        <v>1.2109999999999999E-4</v>
      </c>
      <c r="CB1131" s="30"/>
      <c r="CC1131" s="30"/>
      <c r="CD1131" s="30"/>
      <c r="CE1131" s="30"/>
      <c r="CF1131" s="30"/>
      <c r="CG1131" s="30"/>
      <c r="CH1131" s="74"/>
    </row>
    <row r="1132" spans="1:86" x14ac:dyDescent="0.2">
      <c r="A1132" s="3" t="s">
        <v>37</v>
      </c>
      <c r="B1132" s="39">
        <v>978</v>
      </c>
      <c r="C1132" s="82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  <c r="AZ1132" s="30"/>
      <c r="BA1132" s="30"/>
      <c r="BB1132" s="30"/>
      <c r="BC1132" s="30"/>
      <c r="BD1132" s="30"/>
      <c r="BE1132" s="30"/>
      <c r="BF1132" s="30"/>
      <c r="BG1132" s="30"/>
      <c r="BH1132" s="30"/>
      <c r="BI1132" s="30"/>
      <c r="BJ1132" s="30"/>
      <c r="BK1132" s="30"/>
      <c r="BL1132" s="30"/>
      <c r="BM1132" s="30"/>
      <c r="BN1132" s="30"/>
      <c r="BO1132" s="30"/>
      <c r="BP1132" s="30"/>
      <c r="BQ1132" s="30"/>
      <c r="BR1132" s="30"/>
      <c r="BS1132" s="30">
        <f>12.15/100000</f>
        <v>1.215E-4</v>
      </c>
      <c r="BT1132" s="30">
        <f>11.94/100000</f>
        <v>1.1939999999999999E-4</v>
      </c>
      <c r="BU1132" s="30">
        <f>12.26/100000</f>
        <v>1.226E-4</v>
      </c>
      <c r="BV1132" s="30">
        <f>12.76/100000</f>
        <v>1.2759999999999998E-4</v>
      </c>
      <c r="BW1132" s="30">
        <f>12.99/100000</f>
        <v>1.2990000000000001E-4</v>
      </c>
      <c r="BX1132" s="30">
        <f>12.81/100000</f>
        <v>1.281E-4</v>
      </c>
      <c r="BY1132" s="30">
        <f>13.2/100000</f>
        <v>1.3199999999999998E-4</v>
      </c>
      <c r="BZ1132" s="30">
        <f>14.79/100000</f>
        <v>1.4789999999999999E-4</v>
      </c>
      <c r="CA1132" s="30">
        <f>15.75/100000</f>
        <v>1.5750000000000001E-4</v>
      </c>
      <c r="CB1132" s="30"/>
      <c r="CC1132" s="30"/>
      <c r="CD1132" s="30"/>
      <c r="CE1132" s="30"/>
      <c r="CF1132" s="30"/>
      <c r="CG1132" s="30"/>
      <c r="CH1132" s="74"/>
    </row>
    <row r="1133" spans="1:86" x14ac:dyDescent="0.2">
      <c r="A1133" s="3" t="s">
        <v>37</v>
      </c>
      <c r="B1133" s="39">
        <v>978</v>
      </c>
      <c r="C1133" s="82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c r="AJ1133" s="30"/>
      <c r="AK1133" s="30"/>
      <c r="AL1133" s="30"/>
      <c r="AM1133" s="30"/>
      <c r="AN1133" s="30"/>
      <c r="AO1133" s="30"/>
      <c r="AP1133" s="30"/>
      <c r="AQ1133" s="30"/>
      <c r="AR1133" s="30"/>
      <c r="AS1133" s="30"/>
      <c r="AT1133" s="30"/>
      <c r="AU1133" s="30"/>
      <c r="AV1133" s="30"/>
      <c r="AW1133" s="30"/>
      <c r="AX1133" s="30"/>
      <c r="AY1133" s="30"/>
      <c r="AZ1133" s="30"/>
      <c r="BA1133" s="30"/>
      <c r="BB1133" s="30"/>
      <c r="BC1133" s="30"/>
      <c r="BD1133" s="30"/>
      <c r="BE1133" s="30"/>
      <c r="BF1133" s="30"/>
      <c r="BG1133" s="30"/>
      <c r="BH1133" s="30"/>
      <c r="BI1133" s="30"/>
      <c r="BJ1133" s="30"/>
      <c r="BK1133" s="30"/>
      <c r="BL1133" s="30"/>
      <c r="BM1133" s="30"/>
      <c r="BN1133" s="30"/>
      <c r="BO1133" s="30"/>
      <c r="BP1133" s="30"/>
      <c r="BQ1133" s="30"/>
      <c r="BR1133" s="30"/>
      <c r="BS1133" s="30">
        <f>13.13/100000</f>
        <v>1.3130000000000002E-4</v>
      </c>
      <c r="BT1133" s="30">
        <f>13.18/100000</f>
        <v>1.3180000000000001E-4</v>
      </c>
      <c r="BU1133" s="30">
        <f>14.65/100000</f>
        <v>1.4650000000000001E-4</v>
      </c>
      <c r="BV1133" s="30">
        <f>14.55/100000</f>
        <v>1.4550000000000001E-4</v>
      </c>
      <c r="BW1133" s="30">
        <f>14.16/100000</f>
        <v>1.416E-4</v>
      </c>
      <c r="BX1133" s="30">
        <f>14.46/100000</f>
        <v>1.4460000000000002E-4</v>
      </c>
      <c r="BY1133" s="30">
        <f>14.84/100000</f>
        <v>1.484E-4</v>
      </c>
      <c r="BZ1133" s="30">
        <f>15.28/100000</f>
        <v>1.528E-4</v>
      </c>
      <c r="CA1133" s="30">
        <f>16.58/100000</f>
        <v>1.6579999999999999E-4</v>
      </c>
      <c r="CB1133" s="30"/>
      <c r="CC1133" s="30"/>
      <c r="CD1133" s="30"/>
      <c r="CE1133" s="30"/>
      <c r="CF1133" s="30"/>
      <c r="CG1133" s="30"/>
      <c r="CH1133" s="74"/>
    </row>
    <row r="1134" spans="1:86" x14ac:dyDescent="0.2">
      <c r="A1134" s="3" t="s">
        <v>37</v>
      </c>
      <c r="B1134" s="39">
        <v>978</v>
      </c>
      <c r="C1134" s="82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c r="AJ1134" s="30"/>
      <c r="AK1134" s="30"/>
      <c r="AL1134" s="30"/>
      <c r="AM1134" s="30"/>
      <c r="AN1134" s="30"/>
      <c r="AO1134" s="30"/>
      <c r="AP1134" s="30"/>
      <c r="AQ1134" s="30"/>
      <c r="AR1134" s="30"/>
      <c r="AS1134" s="30"/>
      <c r="AT1134" s="30"/>
      <c r="AU1134" s="30"/>
      <c r="AV1134" s="30"/>
      <c r="AW1134" s="30"/>
      <c r="AX1134" s="30"/>
      <c r="AY1134" s="30"/>
      <c r="AZ1134" s="30"/>
      <c r="BA1134" s="30"/>
      <c r="BB1134" s="30"/>
      <c r="BC1134" s="30"/>
      <c r="BD1134" s="30"/>
      <c r="BE1134" s="30"/>
      <c r="BF1134" s="30"/>
      <c r="BG1134" s="30"/>
      <c r="BH1134" s="30"/>
      <c r="BI1134" s="30"/>
      <c r="BJ1134" s="30"/>
      <c r="BK1134" s="30"/>
      <c r="BL1134" s="30"/>
      <c r="BM1134" s="30"/>
      <c r="BN1134" s="30"/>
      <c r="BO1134" s="30"/>
      <c r="BP1134" s="30"/>
      <c r="BQ1134" s="30"/>
      <c r="BR1134" s="30"/>
      <c r="BS1134" s="30">
        <f>13.35/100000</f>
        <v>1.3349999999999999E-4</v>
      </c>
      <c r="BT1134" s="30">
        <f>12.94/100000</f>
        <v>1.294E-4</v>
      </c>
      <c r="BU1134" s="30">
        <f>14.19/100000</f>
        <v>1.4190000000000001E-4</v>
      </c>
      <c r="BV1134" s="30">
        <f>14.01/100000</f>
        <v>1.4009999999999999E-4</v>
      </c>
      <c r="BW1134" s="30">
        <f>14.44/100000</f>
        <v>1.4439999999999999E-4</v>
      </c>
      <c r="BX1134" s="30">
        <f>13.97/100000</f>
        <v>1.3970000000000001E-4</v>
      </c>
      <c r="BY1134" s="30">
        <f>14.54/100000</f>
        <v>1.4539999999999998E-4</v>
      </c>
      <c r="BZ1134" s="30">
        <f>15.63/100000</f>
        <v>1.563E-4</v>
      </c>
      <c r="CA1134" s="30">
        <f>16.14/100000</f>
        <v>1.6139999999999999E-4</v>
      </c>
      <c r="CB1134" s="30"/>
      <c r="CC1134" s="30"/>
      <c r="CD1134" s="30"/>
      <c r="CE1134" s="30"/>
      <c r="CF1134" s="30"/>
      <c r="CG1134" s="30"/>
      <c r="CH1134" s="74"/>
    </row>
    <row r="1135" spans="1:86" x14ac:dyDescent="0.2">
      <c r="A1135" s="3" t="s">
        <v>37</v>
      </c>
      <c r="B1135" s="39">
        <v>978</v>
      </c>
      <c r="C1135" s="82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c r="AJ1135" s="30"/>
      <c r="AK1135" s="30"/>
      <c r="AL1135" s="30"/>
      <c r="AM1135" s="30"/>
      <c r="AN1135" s="30"/>
      <c r="AO1135" s="30"/>
      <c r="AP1135" s="30"/>
      <c r="AQ1135" s="30"/>
      <c r="AR1135" s="30"/>
      <c r="AS1135" s="30"/>
      <c r="AT1135" s="30"/>
      <c r="AU1135" s="30"/>
      <c r="AV1135" s="30"/>
      <c r="AW1135" s="30"/>
      <c r="AX1135" s="30"/>
      <c r="AY1135" s="30"/>
      <c r="AZ1135" s="30"/>
      <c r="BA1135" s="30"/>
      <c r="BB1135" s="30"/>
      <c r="BC1135" s="30"/>
      <c r="BD1135" s="30"/>
      <c r="BE1135" s="30"/>
      <c r="BF1135" s="30"/>
      <c r="BG1135" s="30"/>
      <c r="BH1135" s="30"/>
      <c r="BI1135" s="30"/>
      <c r="BJ1135" s="30"/>
      <c r="BK1135" s="30"/>
      <c r="BL1135" s="30"/>
      <c r="BM1135" s="30"/>
      <c r="BN1135" s="30"/>
      <c r="BO1135" s="30"/>
      <c r="BP1135" s="30"/>
      <c r="BQ1135" s="30"/>
      <c r="BR1135" s="30"/>
      <c r="BS1135" s="30">
        <f>12.82/100000</f>
        <v>1.282E-4</v>
      </c>
      <c r="BT1135" s="30">
        <f>12.78/100000</f>
        <v>1.2779999999999999E-4</v>
      </c>
      <c r="BU1135" s="30">
        <f>14.28/100000</f>
        <v>1.428E-4</v>
      </c>
      <c r="BV1135" s="30">
        <f>14.54/100000</f>
        <v>1.4539999999999998E-4</v>
      </c>
      <c r="BW1135" s="30">
        <f>14.91/100000</f>
        <v>1.4909999999999999E-4</v>
      </c>
      <c r="BX1135" s="30">
        <f>15.43/100000</f>
        <v>1.5430000000000001E-4</v>
      </c>
      <c r="BY1135" s="30">
        <f>15.16/100000</f>
        <v>1.516E-4</v>
      </c>
      <c r="BZ1135" s="30">
        <f>15.2/100000</f>
        <v>1.5199999999999998E-4</v>
      </c>
      <c r="CA1135" s="30">
        <f>16.6/100000</f>
        <v>1.6600000000000002E-4</v>
      </c>
      <c r="CB1135" s="30"/>
      <c r="CC1135" s="30"/>
      <c r="CD1135" s="30"/>
      <c r="CE1135" s="30"/>
      <c r="CF1135" s="30"/>
      <c r="CG1135" s="30"/>
      <c r="CH1135" s="74"/>
    </row>
    <row r="1136" spans="1:86" x14ac:dyDescent="0.2">
      <c r="A1136" s="3" t="s">
        <v>37</v>
      </c>
      <c r="B1136" s="39">
        <v>978</v>
      </c>
      <c r="C1136" s="82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c r="AJ1136" s="30"/>
      <c r="AK1136" s="30"/>
      <c r="AL1136" s="30"/>
      <c r="AM1136" s="30"/>
      <c r="AN1136" s="30"/>
      <c r="AO1136" s="30"/>
      <c r="AP1136" s="30"/>
      <c r="AQ1136" s="30"/>
      <c r="AR1136" s="30"/>
      <c r="AS1136" s="30"/>
      <c r="AT1136" s="30"/>
      <c r="AU1136" s="30"/>
      <c r="AV1136" s="30"/>
      <c r="AW1136" s="30"/>
      <c r="AX1136" s="30"/>
      <c r="AY1136" s="30"/>
      <c r="AZ1136" s="30"/>
      <c r="BA1136" s="30"/>
      <c r="BB1136" s="30"/>
      <c r="BC1136" s="30"/>
      <c r="BD1136" s="30"/>
      <c r="BE1136" s="30"/>
      <c r="BF1136" s="30"/>
      <c r="BG1136" s="30"/>
      <c r="BH1136" s="30"/>
      <c r="BI1136" s="30"/>
      <c r="BJ1136" s="30"/>
      <c r="BK1136" s="30"/>
      <c r="BL1136" s="30"/>
      <c r="BM1136" s="30"/>
      <c r="BN1136" s="30"/>
      <c r="BO1136" s="30"/>
      <c r="BP1136" s="30"/>
      <c r="BQ1136" s="30"/>
      <c r="BR1136" s="30"/>
      <c r="BS1136" s="30">
        <f>13.39/100000</f>
        <v>1.339E-4</v>
      </c>
      <c r="BT1136" s="30">
        <f>13.34/100000</f>
        <v>1.3339999999999999E-4</v>
      </c>
      <c r="BU1136" s="30">
        <f>13.7/100000</f>
        <v>1.37E-4</v>
      </c>
      <c r="BV1136" s="30">
        <f>14.66/100000</f>
        <v>1.4660000000000001E-4</v>
      </c>
      <c r="BW1136" s="30">
        <f>14.5/100000</f>
        <v>1.45E-4</v>
      </c>
      <c r="BX1136" s="30">
        <f>14.49/100000</f>
        <v>1.449E-4</v>
      </c>
      <c r="BY1136" s="30">
        <f>15.3/100000</f>
        <v>1.5300000000000001E-4</v>
      </c>
      <c r="BZ1136" s="30">
        <f>16.24/100000</f>
        <v>1.6239999999999999E-4</v>
      </c>
      <c r="CA1136" s="30">
        <f>16.41/100000</f>
        <v>1.641E-4</v>
      </c>
      <c r="CB1136" s="30"/>
      <c r="CC1136" s="30"/>
      <c r="CD1136" s="30"/>
      <c r="CE1136" s="30"/>
      <c r="CF1136" s="30"/>
      <c r="CG1136" s="30"/>
      <c r="CH1136" s="74"/>
    </row>
    <row r="1137" spans="1:86" x14ac:dyDescent="0.2">
      <c r="A1137" s="3" t="s">
        <v>37</v>
      </c>
      <c r="B1137" s="39">
        <v>978</v>
      </c>
      <c r="C1137" s="82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c r="AJ1137" s="30"/>
      <c r="AK1137" s="30"/>
      <c r="AL1137" s="30"/>
      <c r="AM1137" s="30"/>
      <c r="AN1137" s="30"/>
      <c r="AO1137" s="30"/>
      <c r="AP1137" s="30"/>
      <c r="AQ1137" s="30"/>
      <c r="AR1137" s="30"/>
      <c r="AS1137" s="30"/>
      <c r="AT1137" s="30"/>
      <c r="AU1137" s="30"/>
      <c r="AV1137" s="30"/>
      <c r="AW1137" s="30"/>
      <c r="AX1137" s="30"/>
      <c r="AY1137" s="30"/>
      <c r="AZ1137" s="30"/>
      <c r="BA1137" s="30"/>
      <c r="BB1137" s="30"/>
      <c r="BC1137" s="30"/>
      <c r="BD1137" s="30"/>
      <c r="BE1137" s="30"/>
      <c r="BF1137" s="30"/>
      <c r="BG1137" s="30"/>
      <c r="BH1137" s="30"/>
      <c r="BI1137" s="30"/>
      <c r="BJ1137" s="30"/>
      <c r="BK1137" s="30"/>
      <c r="BL1137" s="30"/>
      <c r="BM1137" s="30"/>
      <c r="BN1137" s="30"/>
      <c r="BO1137" s="30"/>
      <c r="BP1137" s="30"/>
      <c r="BQ1137" s="30"/>
      <c r="BR1137" s="30"/>
      <c r="BS1137" s="30">
        <f>16.87/100000</f>
        <v>1.6870000000000001E-4</v>
      </c>
      <c r="BT1137" s="30">
        <f>16.92/100000</f>
        <v>1.6920000000000002E-4</v>
      </c>
      <c r="BU1137" s="30">
        <f>17.16/100000</f>
        <v>1.716E-4</v>
      </c>
      <c r="BV1137" s="30">
        <f>17.32/100000</f>
        <v>1.7320000000000001E-4</v>
      </c>
      <c r="BW1137" s="30">
        <f>17.57/100000</f>
        <v>1.7570000000000002E-4</v>
      </c>
      <c r="BX1137" s="30">
        <f>17.11/100000</f>
        <v>1.7109999999999998E-4</v>
      </c>
      <c r="BY1137" s="30">
        <f>17.67/100000</f>
        <v>1.7670000000000001E-4</v>
      </c>
      <c r="BZ1137" s="30">
        <f>17.87/100000</f>
        <v>1.7870000000000001E-4</v>
      </c>
      <c r="CA1137" s="30">
        <f>17.74/100000</f>
        <v>1.7739999999999998E-4</v>
      </c>
      <c r="CB1137" s="30"/>
      <c r="CC1137" s="30"/>
      <c r="CD1137" s="30"/>
      <c r="CE1137" s="30"/>
      <c r="CF1137" s="30"/>
      <c r="CG1137" s="30"/>
      <c r="CH1137" s="74"/>
    </row>
    <row r="1138" spans="1:86" x14ac:dyDescent="0.2">
      <c r="A1138" s="3" t="s">
        <v>37</v>
      </c>
      <c r="B1138" s="39">
        <v>978</v>
      </c>
      <c r="C1138" s="82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c r="AJ1138" s="30"/>
      <c r="AK1138" s="30"/>
      <c r="AL1138" s="30"/>
      <c r="AM1138" s="30"/>
      <c r="AN1138" s="30"/>
      <c r="AO1138" s="30"/>
      <c r="AP1138" s="30"/>
      <c r="AQ1138" s="30"/>
      <c r="AR1138" s="30"/>
      <c r="AS1138" s="30"/>
      <c r="AT1138" s="30"/>
      <c r="AU1138" s="30"/>
      <c r="AV1138" s="30"/>
      <c r="AW1138" s="30"/>
      <c r="AX1138" s="30"/>
      <c r="AY1138" s="30"/>
      <c r="AZ1138" s="30"/>
      <c r="BA1138" s="30"/>
      <c r="BB1138" s="30"/>
      <c r="BC1138" s="30"/>
      <c r="BD1138" s="30"/>
      <c r="BE1138" s="30"/>
      <c r="BF1138" s="30"/>
      <c r="BG1138" s="30"/>
      <c r="BH1138" s="30"/>
      <c r="BI1138" s="30"/>
      <c r="BJ1138" s="30"/>
      <c r="BK1138" s="30"/>
      <c r="BL1138" s="30"/>
      <c r="BM1138" s="30"/>
      <c r="BN1138" s="30"/>
      <c r="BO1138" s="30"/>
      <c r="BP1138" s="30"/>
      <c r="BQ1138" s="30"/>
      <c r="BR1138" s="30"/>
      <c r="BS1138" s="30">
        <f>17/100000</f>
        <v>1.7000000000000001E-4</v>
      </c>
      <c r="BT1138" s="30">
        <f>17.76/100000</f>
        <v>1.7760000000000001E-4</v>
      </c>
      <c r="BU1138" s="30">
        <f>18.39/100000</f>
        <v>1.839E-4</v>
      </c>
      <c r="BV1138" s="30">
        <f>18.3/100000</f>
        <v>1.83E-4</v>
      </c>
      <c r="BW1138" s="30">
        <f>18.98/100000</f>
        <v>1.8980000000000001E-4</v>
      </c>
      <c r="BX1138" s="30">
        <f>18.98/100000</f>
        <v>1.8980000000000001E-4</v>
      </c>
      <c r="BY1138" s="30">
        <f>19.49/100000</f>
        <v>1.9489999999999999E-4</v>
      </c>
      <c r="BZ1138" s="30">
        <f>19.78/100000</f>
        <v>1.9780000000000001E-4</v>
      </c>
      <c r="CA1138" s="30">
        <f>19.47/100000</f>
        <v>1.9469999999999999E-4</v>
      </c>
      <c r="CB1138" s="30"/>
      <c r="CC1138" s="30"/>
      <c r="CD1138" s="30"/>
      <c r="CE1138" s="30"/>
      <c r="CF1138" s="30"/>
      <c r="CG1138" s="30"/>
      <c r="CH1138" s="74"/>
    </row>
    <row r="1139" spans="1:86" x14ac:dyDescent="0.2">
      <c r="A1139" s="3" t="s">
        <v>37</v>
      </c>
      <c r="B1139" s="39">
        <v>978</v>
      </c>
      <c r="C1139" s="82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c r="AJ1139" s="30"/>
      <c r="AK1139" s="30"/>
      <c r="AL1139" s="30"/>
      <c r="AM1139" s="30"/>
      <c r="AN1139" s="30"/>
      <c r="AO1139" s="30"/>
      <c r="AP1139" s="30"/>
      <c r="AQ1139" s="30"/>
      <c r="AR1139" s="30"/>
      <c r="AS1139" s="30"/>
      <c r="AT1139" s="30"/>
      <c r="AU1139" s="30"/>
      <c r="AV1139" s="30"/>
      <c r="AW1139" s="30"/>
      <c r="AX1139" s="30"/>
      <c r="AY1139" s="30"/>
      <c r="AZ1139" s="30"/>
      <c r="BA1139" s="30"/>
      <c r="BB1139" s="30"/>
      <c r="BC1139" s="30"/>
      <c r="BD1139" s="30"/>
      <c r="BE1139" s="30"/>
      <c r="BF1139" s="30"/>
      <c r="BG1139" s="30"/>
      <c r="BH1139" s="30"/>
      <c r="BI1139" s="30"/>
      <c r="BJ1139" s="30"/>
      <c r="BK1139" s="30"/>
      <c r="BL1139" s="30"/>
      <c r="BM1139" s="30"/>
      <c r="BN1139" s="30"/>
      <c r="BO1139" s="30"/>
      <c r="BP1139" s="30"/>
      <c r="BQ1139" s="30"/>
      <c r="BR1139" s="30"/>
      <c r="BS1139" s="30">
        <f>14.84/100000</f>
        <v>1.484E-4</v>
      </c>
      <c r="BT1139" s="30">
        <f>14.78/100000</f>
        <v>1.4779999999999999E-4</v>
      </c>
      <c r="BU1139" s="30">
        <f>14.89/100000</f>
        <v>1.4890000000000001E-4</v>
      </c>
      <c r="BV1139" s="30">
        <f>15.28/100000</f>
        <v>1.528E-4</v>
      </c>
      <c r="BW1139" s="30">
        <f>15.4/100000</f>
        <v>1.54E-4</v>
      </c>
      <c r="BX1139" s="30">
        <f>16.15/100000</f>
        <v>1.615E-4</v>
      </c>
      <c r="BY1139" s="30">
        <f>16.67/100000</f>
        <v>1.6670000000000001E-4</v>
      </c>
      <c r="BZ1139" s="30">
        <f>16.58/100000</f>
        <v>1.6579999999999999E-4</v>
      </c>
      <c r="CA1139" s="30">
        <f>16.6/100000</f>
        <v>1.6600000000000002E-4</v>
      </c>
      <c r="CB1139" s="30"/>
      <c r="CC1139" s="30"/>
      <c r="CD1139" s="30"/>
      <c r="CE1139" s="30"/>
      <c r="CF1139" s="30"/>
      <c r="CG1139" s="30"/>
      <c r="CH1139" s="74"/>
    </row>
    <row r="1140" spans="1:86" x14ac:dyDescent="0.2">
      <c r="A1140" s="3" t="s">
        <v>37</v>
      </c>
      <c r="B1140" s="39">
        <v>979</v>
      </c>
      <c r="C1140" s="82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c r="AJ1140" s="30"/>
      <c r="AK1140" s="30"/>
      <c r="AL1140" s="30">
        <f>1.25/100000</f>
        <v>1.2500000000000001E-5</v>
      </c>
      <c r="AM1140" s="30"/>
      <c r="AN1140" s="30"/>
      <c r="AO1140" s="30"/>
      <c r="AP1140" s="30"/>
      <c r="AQ1140" s="30"/>
      <c r="AR1140" s="30"/>
      <c r="AS1140" s="30"/>
      <c r="AT1140" s="30"/>
      <c r="AU1140" s="30"/>
      <c r="AV1140" s="30"/>
      <c r="AW1140" s="30"/>
      <c r="AX1140" s="30"/>
      <c r="AY1140" s="30"/>
      <c r="AZ1140" s="30"/>
      <c r="BA1140" s="30"/>
      <c r="BB1140" s="30">
        <f>2.5/100000</f>
        <v>2.5000000000000001E-5</v>
      </c>
      <c r="BC1140" s="30"/>
      <c r="BD1140" s="30"/>
      <c r="BE1140" s="30"/>
      <c r="BF1140" s="30"/>
      <c r="BG1140" s="30"/>
      <c r="BH1140" s="30"/>
      <c r="BI1140" s="30"/>
      <c r="BJ1140" s="30"/>
      <c r="BK1140" s="30"/>
      <c r="BL1140" s="30"/>
      <c r="BM1140" s="30"/>
      <c r="BN1140" s="30"/>
      <c r="BO1140" s="30"/>
      <c r="BP1140" s="30"/>
      <c r="BQ1140" s="30"/>
      <c r="BR1140" s="30">
        <f>1.1/100000</f>
        <v>1.1000000000000001E-5</v>
      </c>
      <c r="BS1140" s="30"/>
      <c r="BT1140" s="30"/>
      <c r="BU1140" s="30"/>
      <c r="BV1140" s="30"/>
      <c r="BW1140" s="30"/>
      <c r="BX1140" s="30"/>
      <c r="BY1140" s="30"/>
      <c r="BZ1140" s="30">
        <f>2.5/100000</f>
        <v>2.5000000000000001E-5</v>
      </c>
      <c r="CA1140" s="30"/>
      <c r="CB1140" s="30"/>
      <c r="CC1140" s="30"/>
      <c r="CD1140" s="30"/>
      <c r="CE1140" s="30"/>
      <c r="CF1140" s="30"/>
      <c r="CG1140" s="30"/>
      <c r="CH1140" s="74"/>
    </row>
    <row r="1141" spans="1:86" x14ac:dyDescent="0.2">
      <c r="A1141" s="3" t="s">
        <v>37</v>
      </c>
      <c r="B1141" s="39">
        <v>979</v>
      </c>
      <c r="C1141" s="82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0"/>
      <c r="AL1141" s="30">
        <f>0.49/100000</f>
        <v>4.8999999999999997E-6</v>
      </c>
      <c r="AM1141" s="30"/>
      <c r="AN1141" s="30"/>
      <c r="AO1141" s="30"/>
      <c r="AP1141" s="30"/>
      <c r="AQ1141" s="30"/>
      <c r="AR1141" s="30"/>
      <c r="AS1141" s="30"/>
      <c r="AT1141" s="30"/>
      <c r="AU1141" s="30"/>
      <c r="AV1141" s="30"/>
      <c r="AW1141" s="30"/>
      <c r="AX1141" s="30"/>
      <c r="AY1141" s="30"/>
      <c r="AZ1141" s="30"/>
      <c r="BA1141" s="30"/>
      <c r="BB1141" s="30">
        <f>1/100000</f>
        <v>1.0000000000000001E-5</v>
      </c>
      <c r="BC1141" s="30"/>
      <c r="BD1141" s="30"/>
      <c r="BE1141" s="30"/>
      <c r="BF1141" s="30"/>
      <c r="BG1141" s="30"/>
      <c r="BH1141" s="30"/>
      <c r="BI1141" s="30"/>
      <c r="BJ1141" s="30"/>
      <c r="BK1141" s="30"/>
      <c r="BL1141" s="30"/>
      <c r="BM1141" s="30"/>
      <c r="BN1141" s="30"/>
      <c r="BO1141" s="30"/>
      <c r="BP1141" s="30"/>
      <c r="BQ1141" s="30"/>
      <c r="BR1141" s="30">
        <f>0.5/100000</f>
        <v>5.0000000000000004E-6</v>
      </c>
      <c r="BS1141" s="30"/>
      <c r="BT1141" s="30"/>
      <c r="BU1141" s="30"/>
      <c r="BV1141" s="30"/>
      <c r="BW1141" s="30"/>
      <c r="BX1141" s="30"/>
      <c r="BY1141" s="30"/>
      <c r="BZ1141" s="30">
        <f>1.6/100000</f>
        <v>1.5999999999999999E-5</v>
      </c>
      <c r="CA1141" s="30"/>
      <c r="CB1141" s="30"/>
      <c r="CC1141" s="30"/>
      <c r="CD1141" s="30"/>
      <c r="CE1141" s="30"/>
      <c r="CF1141" s="30"/>
      <c r="CG1141" s="30"/>
      <c r="CH1141" s="74"/>
    </row>
    <row r="1142" spans="1:86" x14ac:dyDescent="0.2">
      <c r="A1142" s="3" t="s">
        <v>37</v>
      </c>
      <c r="B1142" s="39">
        <v>979</v>
      </c>
      <c r="C1142" s="82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c r="AJ1142" s="30"/>
      <c r="AK1142" s="30"/>
      <c r="AL1142" s="30">
        <f>12/100000</f>
        <v>1.2E-4</v>
      </c>
      <c r="AM1142" s="30"/>
      <c r="AN1142" s="30"/>
      <c r="AO1142" s="30"/>
      <c r="AP1142" s="30"/>
      <c r="AQ1142" s="30"/>
      <c r="AR1142" s="30"/>
      <c r="AS1142" s="30"/>
      <c r="AT1142" s="30"/>
      <c r="AU1142" s="30"/>
      <c r="AV1142" s="30"/>
      <c r="AW1142" s="30"/>
      <c r="AX1142" s="30"/>
      <c r="AY1142" s="30"/>
      <c r="AZ1142" s="30"/>
      <c r="BA1142" s="30"/>
      <c r="BB1142" s="30">
        <f>18/100000</f>
        <v>1.8000000000000001E-4</v>
      </c>
      <c r="BC1142" s="30"/>
      <c r="BD1142" s="30"/>
      <c r="BE1142" s="30"/>
      <c r="BF1142" s="30"/>
      <c r="BG1142" s="30"/>
      <c r="BH1142" s="30"/>
      <c r="BI1142" s="30"/>
      <c r="BJ1142" s="30"/>
      <c r="BK1142" s="30"/>
      <c r="BL1142" s="30"/>
      <c r="BM1142" s="30"/>
      <c r="BN1142" s="30"/>
      <c r="BO1142" s="30"/>
      <c r="BP1142" s="30"/>
      <c r="BQ1142" s="30"/>
      <c r="BR1142" s="30">
        <f>10.5/100000</f>
        <v>1.05E-4</v>
      </c>
      <c r="BS1142" s="30"/>
      <c r="BT1142" s="30"/>
      <c r="BU1142" s="30"/>
      <c r="BV1142" s="30"/>
      <c r="BW1142" s="30"/>
      <c r="BX1142" s="30"/>
      <c r="BY1142" s="30"/>
      <c r="BZ1142" s="30">
        <f>14/100000</f>
        <v>1.3999999999999999E-4</v>
      </c>
      <c r="CA1142" s="30"/>
      <c r="CB1142" s="30"/>
      <c r="CC1142" s="30"/>
      <c r="CD1142" s="30"/>
      <c r="CE1142" s="30"/>
      <c r="CF1142" s="30"/>
      <c r="CG1142" s="30"/>
      <c r="CH1142" s="74"/>
    </row>
    <row r="1143" spans="1:86" x14ac:dyDescent="0.2">
      <c r="A1143" s="3" t="s">
        <v>37</v>
      </c>
      <c r="B1143" s="39">
        <v>979</v>
      </c>
      <c r="C1143" s="82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c r="AJ1143" s="30"/>
      <c r="AK1143" s="30"/>
      <c r="AL1143" s="30">
        <f>3/100000</f>
        <v>3.0000000000000001E-5</v>
      </c>
      <c r="AM1143" s="30"/>
      <c r="AN1143" s="30"/>
      <c r="AO1143" s="30"/>
      <c r="AP1143" s="30"/>
      <c r="AQ1143" s="30"/>
      <c r="AR1143" s="30"/>
      <c r="AS1143" s="30"/>
      <c r="AT1143" s="30"/>
      <c r="AU1143" s="30"/>
      <c r="AV1143" s="30"/>
      <c r="AW1143" s="30"/>
      <c r="AX1143" s="30"/>
      <c r="AY1143" s="30"/>
      <c r="AZ1143" s="30"/>
      <c r="BA1143" s="30"/>
      <c r="BB1143" s="30">
        <f>4/100000</f>
        <v>4.0000000000000003E-5</v>
      </c>
      <c r="BC1143" s="30"/>
      <c r="BD1143" s="30"/>
      <c r="BE1143" s="30"/>
      <c r="BF1143" s="30"/>
      <c r="BG1143" s="30"/>
      <c r="BH1143" s="30"/>
      <c r="BI1143" s="30"/>
      <c r="BJ1143" s="30"/>
      <c r="BK1143" s="30"/>
      <c r="BL1143" s="30"/>
      <c r="BM1143" s="30"/>
      <c r="BN1143" s="30"/>
      <c r="BO1143" s="30"/>
      <c r="BP1143" s="30"/>
      <c r="BQ1143" s="30"/>
      <c r="BR1143" s="30">
        <f>2.1/100000</f>
        <v>2.1000000000000002E-5</v>
      </c>
      <c r="BS1143" s="30"/>
      <c r="BT1143" s="30"/>
      <c r="BU1143" s="30"/>
      <c r="BV1143" s="30"/>
      <c r="BW1143" s="30"/>
      <c r="BX1143" s="30"/>
      <c r="BY1143" s="30"/>
      <c r="BZ1143" s="30">
        <f>5/100000</f>
        <v>5.0000000000000002E-5</v>
      </c>
      <c r="CA1143" s="30"/>
      <c r="CB1143" s="30"/>
      <c r="CC1143" s="30"/>
      <c r="CD1143" s="30"/>
      <c r="CE1143" s="30"/>
      <c r="CF1143" s="30"/>
      <c r="CG1143" s="30"/>
      <c r="CH1143" s="74"/>
    </row>
    <row r="1144" spans="1:86" x14ac:dyDescent="0.2">
      <c r="A1144" s="3" t="s">
        <v>37</v>
      </c>
      <c r="B1144" s="39">
        <v>980</v>
      </c>
      <c r="C1144" s="82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c r="AJ1144" s="30"/>
      <c r="AK1144" s="30"/>
      <c r="AL1144" s="30"/>
      <c r="AM1144" s="30"/>
      <c r="AN1144" s="30"/>
      <c r="AO1144" s="30"/>
      <c r="AP1144" s="30"/>
      <c r="AQ1144" s="30"/>
      <c r="AR1144" s="30"/>
      <c r="AS1144" s="30"/>
      <c r="AT1144" s="30"/>
      <c r="AU1144" s="30"/>
      <c r="AV1144" s="30"/>
      <c r="AW1144" s="30"/>
      <c r="AX1144" s="30"/>
      <c r="AY1144" s="30"/>
      <c r="AZ1144" s="30"/>
      <c r="BA1144" s="30"/>
      <c r="BB1144" s="30"/>
      <c r="BC1144" s="30"/>
      <c r="BD1144" s="30"/>
      <c r="BE1144" s="30"/>
      <c r="BF1144" s="30"/>
      <c r="BG1144" s="30"/>
      <c r="BH1144" s="30"/>
      <c r="BI1144" s="30"/>
      <c r="BJ1144" s="30"/>
      <c r="BK1144" s="30">
        <f>4.6/100000</f>
        <v>4.5999999999999993E-5</v>
      </c>
      <c r="BL1144" s="30"/>
      <c r="BM1144" s="30"/>
      <c r="BN1144" s="30"/>
      <c r="BO1144" s="30"/>
      <c r="BP1144" s="30"/>
      <c r="BQ1144" s="30"/>
      <c r="BR1144" s="30"/>
      <c r="BS1144" s="30"/>
      <c r="BT1144" s="30"/>
      <c r="BU1144" s="30"/>
      <c r="BV1144" s="30"/>
      <c r="BW1144" s="30"/>
      <c r="BX1144" s="30"/>
      <c r="BY1144" s="30"/>
      <c r="BZ1144" s="30"/>
      <c r="CA1144" s="30"/>
      <c r="CB1144" s="30">
        <f>4.9/100000</f>
        <v>4.9000000000000005E-5</v>
      </c>
      <c r="CC1144" s="30"/>
      <c r="CD1144" s="30"/>
      <c r="CE1144" s="30"/>
      <c r="CF1144" s="30"/>
      <c r="CG1144" s="30"/>
      <c r="CH1144" s="74"/>
    </row>
    <row r="1145" spans="1:86" x14ac:dyDescent="0.2">
      <c r="A1145" s="3" t="s">
        <v>37</v>
      </c>
      <c r="B1145" s="39">
        <v>980</v>
      </c>
      <c r="C1145" s="82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c r="AJ1145" s="30"/>
      <c r="AK1145" s="30"/>
      <c r="AL1145" s="30"/>
      <c r="AM1145" s="30"/>
      <c r="AN1145" s="30"/>
      <c r="AO1145" s="30"/>
      <c r="AP1145" s="30"/>
      <c r="AQ1145" s="30"/>
      <c r="AR1145" s="30"/>
      <c r="AS1145" s="30"/>
      <c r="AT1145" s="30"/>
      <c r="AU1145" s="30"/>
      <c r="AV1145" s="30"/>
      <c r="AW1145" s="30"/>
      <c r="AX1145" s="30"/>
      <c r="AY1145" s="30"/>
      <c r="AZ1145" s="30"/>
      <c r="BA1145" s="30"/>
      <c r="BB1145" s="30"/>
      <c r="BC1145" s="30"/>
      <c r="BD1145" s="30"/>
      <c r="BE1145" s="30"/>
      <c r="BF1145" s="30"/>
      <c r="BG1145" s="30"/>
      <c r="BH1145" s="30"/>
      <c r="BI1145" s="30"/>
      <c r="BJ1145" s="30"/>
      <c r="BK1145" s="30">
        <f>6/100000</f>
        <v>6.0000000000000002E-5</v>
      </c>
      <c r="BL1145" s="30"/>
      <c r="BM1145" s="30"/>
      <c r="BN1145" s="30"/>
      <c r="BO1145" s="30"/>
      <c r="BP1145" s="30"/>
      <c r="BQ1145" s="30"/>
      <c r="BR1145" s="30"/>
      <c r="BS1145" s="30"/>
      <c r="BT1145" s="30"/>
      <c r="BU1145" s="30"/>
      <c r="BV1145" s="30"/>
      <c r="BW1145" s="30"/>
      <c r="BX1145" s="30"/>
      <c r="BY1145" s="30"/>
      <c r="BZ1145" s="30"/>
      <c r="CA1145" s="30"/>
      <c r="CB1145" s="30">
        <f>8/100000</f>
        <v>8.0000000000000007E-5</v>
      </c>
      <c r="CC1145" s="30"/>
      <c r="CD1145" s="30"/>
      <c r="CE1145" s="30"/>
      <c r="CF1145" s="30"/>
      <c r="CG1145" s="30"/>
      <c r="CH1145" s="74"/>
    </row>
    <row r="1146" spans="1:86" x14ac:dyDescent="0.2">
      <c r="A1146" s="3" t="s">
        <v>37</v>
      </c>
      <c r="B1146" s="39">
        <v>981</v>
      </c>
      <c r="C1146" s="82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c r="AJ1146" s="30"/>
      <c r="AK1146" s="30"/>
      <c r="AL1146" s="30"/>
      <c r="AM1146" s="30"/>
      <c r="AN1146" s="30"/>
      <c r="AO1146" s="30"/>
      <c r="AP1146" s="30"/>
      <c r="AQ1146" s="30"/>
      <c r="AR1146" s="30"/>
      <c r="AS1146" s="30"/>
      <c r="AT1146" s="30"/>
      <c r="AU1146" s="30"/>
      <c r="AV1146" s="30"/>
      <c r="AW1146" s="30"/>
      <c r="AX1146" s="30"/>
      <c r="AY1146" s="30"/>
      <c r="AZ1146" s="30"/>
      <c r="BA1146" s="30"/>
      <c r="BB1146" s="30"/>
      <c r="BC1146" s="30"/>
      <c r="BD1146" s="30"/>
      <c r="BE1146" s="30"/>
      <c r="BF1146" s="30"/>
      <c r="BG1146" s="30"/>
      <c r="BH1146" s="30"/>
      <c r="BI1146" s="30"/>
      <c r="BJ1146" s="30"/>
      <c r="BK1146" s="30"/>
      <c r="BL1146" s="30"/>
      <c r="BM1146" s="30"/>
      <c r="BN1146" s="30">
        <f>12.54/100000</f>
        <v>1.2539999999999999E-4</v>
      </c>
      <c r="BO1146" s="30"/>
      <c r="BP1146" s="30"/>
      <c r="BQ1146" s="30">
        <f>12.72/100000</f>
        <v>1.272E-4</v>
      </c>
      <c r="BR1146" s="30"/>
      <c r="BS1146" s="30"/>
      <c r="BT1146" s="30">
        <f>13.41/100000</f>
        <v>1.3410000000000001E-4</v>
      </c>
      <c r="BU1146" s="30"/>
      <c r="BV1146" s="30"/>
      <c r="BW1146" s="30">
        <f>14.29/100000</f>
        <v>1.429E-4</v>
      </c>
      <c r="BX1146" s="30"/>
      <c r="BY1146" s="30"/>
      <c r="BZ1146" s="30">
        <f>14.98/100000</f>
        <v>1.4980000000000001E-4</v>
      </c>
      <c r="CA1146" s="30"/>
      <c r="CB1146" s="30"/>
      <c r="CC1146" s="30"/>
      <c r="CD1146" s="30"/>
      <c r="CE1146" s="30"/>
      <c r="CF1146" s="30"/>
      <c r="CG1146" s="30"/>
      <c r="CH1146" s="74"/>
    </row>
    <row r="1147" spans="1:86" x14ac:dyDescent="0.2">
      <c r="A1147" s="3" t="s">
        <v>37</v>
      </c>
      <c r="B1147" s="39">
        <v>982</v>
      </c>
      <c r="C1147" s="82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  <c r="AZ1147" s="30"/>
      <c r="BA1147" s="30"/>
      <c r="BB1147" s="30"/>
      <c r="BC1147" s="30"/>
      <c r="BD1147" s="30"/>
      <c r="BE1147" s="30"/>
      <c r="BF1147" s="30"/>
      <c r="BG1147" s="30"/>
      <c r="BH1147" s="30"/>
      <c r="BI1147" s="30"/>
      <c r="BJ1147" s="30">
        <f>10.5/100000</f>
        <v>1.05E-4</v>
      </c>
      <c r="BK1147" s="30"/>
      <c r="BL1147" s="30"/>
      <c r="BM1147" s="30"/>
      <c r="BN1147" s="30"/>
      <c r="BO1147" s="30"/>
      <c r="BP1147" s="30"/>
      <c r="BQ1147" s="30"/>
      <c r="BR1147" s="30"/>
      <c r="BS1147" s="30"/>
      <c r="BT1147" s="30"/>
      <c r="BU1147" s="30"/>
      <c r="BV1147" s="30"/>
      <c r="BW1147" s="30"/>
      <c r="BX1147" s="30"/>
      <c r="BY1147" s="30"/>
      <c r="BZ1147" s="30"/>
      <c r="CA1147" s="30"/>
      <c r="CB1147" s="30">
        <f>14/100000</f>
        <v>1.3999999999999999E-4</v>
      </c>
      <c r="CC1147" s="30"/>
      <c r="CD1147" s="30"/>
      <c r="CE1147" s="30"/>
      <c r="CF1147" s="30"/>
      <c r="CG1147" s="30"/>
      <c r="CH1147" s="74"/>
    </row>
    <row r="1148" spans="1:86" x14ac:dyDescent="0.2">
      <c r="A1148" s="3" t="s">
        <v>37</v>
      </c>
      <c r="B1148" s="39">
        <v>983</v>
      </c>
      <c r="C1148" s="82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c r="AJ1148" s="30"/>
      <c r="AK1148" s="30"/>
      <c r="AL1148" s="30"/>
      <c r="AM1148" s="30"/>
      <c r="AN1148" s="30"/>
      <c r="AO1148" s="30"/>
      <c r="AP1148" s="30"/>
      <c r="AQ1148" s="30"/>
      <c r="AR1148" s="30"/>
      <c r="AS1148" s="30"/>
      <c r="AT1148" s="30"/>
      <c r="AU1148" s="30"/>
      <c r="AV1148" s="30"/>
      <c r="AW1148" s="30"/>
      <c r="AX1148" s="30"/>
      <c r="AY1148" s="30"/>
      <c r="AZ1148" s="30"/>
      <c r="BA1148" s="30"/>
      <c r="BB1148" s="30"/>
      <c r="BC1148" s="30"/>
      <c r="BD1148" s="30"/>
      <c r="BE1148" s="30"/>
      <c r="BF1148" s="30"/>
      <c r="BG1148" s="30"/>
      <c r="BH1148" s="30">
        <f>1.8/100000</f>
        <v>1.8E-5</v>
      </c>
      <c r="BI1148" s="30"/>
      <c r="BJ1148" s="30"/>
      <c r="BK1148" s="30"/>
      <c r="BL1148" s="30"/>
      <c r="BM1148" s="30"/>
      <c r="BN1148" s="30"/>
      <c r="BO1148" s="30"/>
      <c r="BP1148" s="30">
        <f>3.16/100000</f>
        <v>3.1600000000000002E-5</v>
      </c>
      <c r="BQ1148" s="30"/>
      <c r="BR1148" s="30"/>
      <c r="BS1148" s="30"/>
      <c r="BT1148" s="30"/>
      <c r="BU1148" s="30"/>
      <c r="BV1148" s="30"/>
      <c r="BW1148" s="30"/>
      <c r="BX1148" s="30"/>
      <c r="BY1148" s="30"/>
      <c r="BZ1148" s="30"/>
      <c r="CA1148" s="30">
        <f>2/100000</f>
        <v>2.0000000000000002E-5</v>
      </c>
      <c r="CB1148" s="30"/>
      <c r="CC1148" s="30"/>
      <c r="CD1148" s="30"/>
      <c r="CE1148" s="30"/>
      <c r="CF1148" s="30"/>
      <c r="CG1148" s="30"/>
      <c r="CH1148" s="74"/>
    </row>
    <row r="1149" spans="1:86" x14ac:dyDescent="0.2">
      <c r="A1149" s="3" t="s">
        <v>37</v>
      </c>
      <c r="B1149" s="39">
        <v>984</v>
      </c>
      <c r="C1149" s="82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>
        <f>24/100000</f>
        <v>2.4000000000000001E-4</v>
      </c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c r="AJ1149" s="30"/>
      <c r="AK1149" s="30"/>
      <c r="AL1149" s="30"/>
      <c r="AM1149" s="30">
        <f>13/100000</f>
        <v>1.2999999999999999E-4</v>
      </c>
      <c r="AN1149" s="30"/>
      <c r="AO1149" s="30"/>
      <c r="AP1149" s="30"/>
      <c r="AQ1149" s="30"/>
      <c r="AR1149" s="30"/>
      <c r="AS1149" s="30"/>
      <c r="AT1149" s="30">
        <f>16/100000</f>
        <v>1.6000000000000001E-4</v>
      </c>
      <c r="AU1149" s="30"/>
      <c r="AV1149" s="30"/>
      <c r="AW1149" s="30"/>
      <c r="AX1149" s="30"/>
      <c r="AY1149" s="30"/>
      <c r="AZ1149" s="30"/>
      <c r="BA1149" s="30"/>
      <c r="BB1149" s="30"/>
      <c r="BC1149" s="30"/>
      <c r="BD1149" s="30">
        <f>8/100000</f>
        <v>8.0000000000000007E-5</v>
      </c>
      <c r="BE1149" s="30"/>
      <c r="BF1149" s="30"/>
      <c r="BG1149" s="30"/>
      <c r="BH1149" s="30"/>
      <c r="BI1149" s="30"/>
      <c r="BJ1149" s="30"/>
      <c r="BK1149" s="30"/>
      <c r="BL1149" s="30"/>
      <c r="BM1149" s="30"/>
      <c r="BN1149" s="30"/>
      <c r="BO1149" s="30"/>
      <c r="BP1149" s="30"/>
      <c r="BQ1149" s="30">
        <f>22/100000</f>
        <v>2.2000000000000001E-4</v>
      </c>
      <c r="BR1149" s="30"/>
      <c r="BS1149" s="30"/>
      <c r="BT1149" s="30"/>
      <c r="BU1149" s="30"/>
      <c r="BV1149" s="30">
        <f>17/100000</f>
        <v>1.7000000000000001E-4</v>
      </c>
      <c r="BW1149" s="30"/>
      <c r="BX1149" s="30"/>
      <c r="BY1149" s="30"/>
      <c r="BZ1149" s="30"/>
      <c r="CA1149" s="30"/>
      <c r="CB1149" s="30"/>
      <c r="CC1149" s="30"/>
      <c r="CD1149" s="30"/>
      <c r="CE1149" s="30"/>
      <c r="CF1149" s="30"/>
      <c r="CG1149" s="30"/>
      <c r="CH1149" s="74"/>
    </row>
    <row r="1150" spans="1:86" x14ac:dyDescent="0.2">
      <c r="A1150" s="3" t="s">
        <v>37</v>
      </c>
      <c r="B1150" s="39">
        <v>985</v>
      </c>
      <c r="C1150" s="82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  <c r="AZ1150" s="30"/>
      <c r="BA1150" s="30"/>
      <c r="BB1150" s="30"/>
      <c r="BC1150" s="30"/>
      <c r="BD1150" s="30"/>
      <c r="BE1150" s="30"/>
      <c r="BF1150" s="30"/>
      <c r="BG1150" s="30"/>
      <c r="BH1150" s="30"/>
      <c r="BI1150" s="30"/>
      <c r="BJ1150" s="30">
        <f>10.5/100000</f>
        <v>1.05E-4</v>
      </c>
      <c r="BK1150" s="30"/>
      <c r="BL1150" s="30"/>
      <c r="BM1150" s="30"/>
      <c r="BN1150" s="30"/>
      <c r="BO1150" s="30"/>
      <c r="BP1150" s="30"/>
      <c r="BQ1150" s="30"/>
      <c r="BR1150" s="30"/>
      <c r="BS1150" s="30"/>
      <c r="BT1150" s="30"/>
      <c r="BU1150" s="30"/>
      <c r="BV1150" s="30"/>
      <c r="BW1150" s="30"/>
      <c r="BX1150" s="30"/>
      <c r="BY1150" s="30"/>
      <c r="BZ1150" s="30"/>
      <c r="CA1150" s="30"/>
      <c r="CB1150" s="30"/>
      <c r="CC1150" s="30">
        <f>14.2/100000</f>
        <v>1.4199999999999998E-4</v>
      </c>
      <c r="CD1150" s="30">
        <f>13.9/100000</f>
        <v>1.3899999999999999E-4</v>
      </c>
      <c r="CE1150" s="30"/>
      <c r="CF1150" s="30"/>
      <c r="CG1150" s="30"/>
      <c r="CH1150" s="74"/>
    </row>
    <row r="1151" spans="1:86" x14ac:dyDescent="0.2">
      <c r="A1151" s="3" t="s">
        <v>37</v>
      </c>
      <c r="B1151" s="39">
        <v>986</v>
      </c>
      <c r="C1151" s="82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c r="AJ1151" s="30"/>
      <c r="AK1151" s="30"/>
      <c r="AL1151" s="30"/>
      <c r="AM1151" s="30"/>
      <c r="AN1151" s="30"/>
      <c r="AO1151" s="30"/>
      <c r="AP1151" s="30"/>
      <c r="AQ1151" s="30"/>
      <c r="AR1151" s="30"/>
      <c r="AS1151" s="30"/>
      <c r="AT1151" s="30"/>
      <c r="AU1151" s="30"/>
      <c r="AV1151" s="30"/>
      <c r="AW1151" s="30"/>
      <c r="AX1151" s="30"/>
      <c r="AY1151" s="30"/>
      <c r="AZ1151" s="30"/>
      <c r="BA1151" s="30"/>
      <c r="BB1151" s="30"/>
      <c r="BC1151" s="30"/>
      <c r="BD1151" s="30"/>
      <c r="BE1151" s="30"/>
      <c r="BF1151" s="30"/>
      <c r="BG1151" s="30"/>
      <c r="BH1151" s="30"/>
      <c r="BI1151" s="16">
        <f>34/100000</f>
        <v>3.4000000000000002E-4</v>
      </c>
      <c r="BJ1151" s="30"/>
      <c r="BK1151" s="30"/>
      <c r="BL1151" s="30"/>
      <c r="BM1151" s="30"/>
      <c r="BN1151" s="30"/>
      <c r="BO1151" s="30"/>
      <c r="BP1151" s="30"/>
      <c r="BQ1151" s="30"/>
      <c r="BR1151" s="16">
        <f>29/100000</f>
        <v>2.9E-4</v>
      </c>
      <c r="BS1151" s="30"/>
      <c r="BT1151" s="30"/>
      <c r="BU1151" s="30"/>
      <c r="BV1151" s="30"/>
      <c r="BW1151" s="30"/>
      <c r="BX1151" s="30"/>
      <c r="BY1151" s="30"/>
      <c r="BZ1151" s="30"/>
      <c r="CA1151" s="30"/>
      <c r="CB1151" s="30"/>
      <c r="CC1151" s="16">
        <f>33/100000</f>
        <v>3.3E-4</v>
      </c>
      <c r="CD1151" s="30"/>
      <c r="CE1151" s="30"/>
      <c r="CF1151" s="30"/>
      <c r="CG1151" s="30"/>
      <c r="CH1151" s="74"/>
    </row>
    <row r="1152" spans="1:86" x14ac:dyDescent="0.2">
      <c r="A1152" s="3" t="s">
        <v>37</v>
      </c>
      <c r="B1152" s="39">
        <v>987</v>
      </c>
      <c r="C1152" s="82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c r="AJ1152" s="30"/>
      <c r="AK1152" s="30"/>
      <c r="AL1152" s="30"/>
      <c r="AM1152" s="30"/>
      <c r="AN1152" s="30"/>
      <c r="AO1152" s="30"/>
      <c r="AP1152" s="30"/>
      <c r="AQ1152" s="30"/>
      <c r="AR1152" s="30"/>
      <c r="AS1152" s="30"/>
      <c r="AT1152" s="30"/>
      <c r="AU1152" s="30"/>
      <c r="AV1152" s="30"/>
      <c r="AW1152" s="30"/>
      <c r="AX1152" s="30"/>
      <c r="AY1152" s="30"/>
      <c r="AZ1152" s="30"/>
      <c r="BA1152" s="30"/>
      <c r="BB1152" s="30"/>
      <c r="BC1152" s="30"/>
      <c r="BD1152" s="30"/>
      <c r="BE1152" s="30"/>
      <c r="BF1152" s="30"/>
      <c r="BG1152" s="30"/>
      <c r="BH1152" s="30"/>
      <c r="BI1152" s="16"/>
      <c r="BJ1152" s="30"/>
      <c r="BK1152" s="30"/>
      <c r="BL1152" s="30"/>
      <c r="BM1152" s="30"/>
      <c r="BN1152" s="30"/>
      <c r="BO1152" s="30"/>
      <c r="BP1152" s="30"/>
      <c r="BQ1152" s="30"/>
      <c r="BR1152" s="16"/>
      <c r="BS1152" s="30"/>
      <c r="BT1152" s="30"/>
      <c r="BU1152" s="30"/>
      <c r="BV1152" s="30"/>
      <c r="BW1152" s="30"/>
      <c r="BX1152" s="30"/>
      <c r="BY1152" s="30"/>
      <c r="BZ1152" s="16">
        <f>1.05/100000</f>
        <v>1.0500000000000001E-5</v>
      </c>
      <c r="CA1152" s="16">
        <f>1.69/100000</f>
        <v>1.6900000000000001E-5</v>
      </c>
      <c r="CB1152" s="16">
        <f>3/100000</f>
        <v>3.0000000000000001E-5</v>
      </c>
      <c r="CC1152" s="16">
        <f>2.98/100000</f>
        <v>2.9799999999999999E-5</v>
      </c>
      <c r="CD1152" s="16">
        <f>2.12/100000</f>
        <v>2.12E-5</v>
      </c>
      <c r="CE1152" s="30"/>
      <c r="CF1152" s="30"/>
      <c r="CG1152" s="30"/>
      <c r="CH1152" s="74"/>
    </row>
    <row r="1153" spans="1:86" x14ac:dyDescent="0.2">
      <c r="A1153" s="3" t="s">
        <v>37</v>
      </c>
      <c r="B1153" s="39">
        <v>988</v>
      </c>
      <c r="C1153" s="82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  <c r="BA1153" s="30"/>
      <c r="BB1153" s="30"/>
      <c r="BC1153" s="30"/>
      <c r="BD1153" s="30"/>
      <c r="BE1153" s="30"/>
      <c r="BF1153" s="30"/>
      <c r="BG1153" s="30"/>
      <c r="BH1153" s="30"/>
      <c r="BI1153" s="16"/>
      <c r="BJ1153" s="30"/>
      <c r="BK1153" s="30"/>
      <c r="BL1153" s="30"/>
      <c r="BM1153" s="30"/>
      <c r="BN1153" s="30"/>
      <c r="BO1153" s="30"/>
      <c r="BP1153" s="30"/>
      <c r="BQ1153" s="30"/>
      <c r="BR1153" s="16"/>
      <c r="BS1153" s="30"/>
      <c r="BT1153" s="30"/>
      <c r="BU1153" s="30"/>
      <c r="BV1153" s="30"/>
      <c r="BW1153" s="30"/>
      <c r="BX1153" s="30"/>
      <c r="BY1153" s="30"/>
      <c r="BZ1153" s="16"/>
      <c r="CA1153" s="16"/>
      <c r="CB1153" s="16"/>
      <c r="CC1153" s="16"/>
      <c r="CD1153" s="16">
        <f>13.9/100000</f>
        <v>1.3899999999999999E-4</v>
      </c>
      <c r="CE1153" s="16">
        <f>13.5/100000</f>
        <v>1.35E-4</v>
      </c>
      <c r="CF1153" s="30"/>
      <c r="CG1153" s="30"/>
      <c r="CH1153" s="74"/>
    </row>
    <row r="1154" spans="1:86" x14ac:dyDescent="0.2">
      <c r="A1154" s="3" t="s">
        <v>37</v>
      </c>
      <c r="B1154" s="39">
        <v>989</v>
      </c>
      <c r="C1154" s="82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c r="AJ1154" s="30"/>
      <c r="AK1154" s="30"/>
      <c r="AL1154" s="30"/>
      <c r="AM1154" s="30"/>
      <c r="AN1154" s="30"/>
      <c r="AO1154" s="30"/>
      <c r="AP1154" s="30"/>
      <c r="AQ1154" s="30"/>
      <c r="AR1154" s="30"/>
      <c r="AS1154" s="30"/>
      <c r="AT1154" s="30"/>
      <c r="AU1154" s="30"/>
      <c r="AV1154" s="30"/>
      <c r="AW1154" s="30"/>
      <c r="AX1154" s="30"/>
      <c r="AY1154" s="30"/>
      <c r="AZ1154" s="30"/>
      <c r="BA1154" s="30"/>
      <c r="BB1154" s="30"/>
      <c r="BC1154" s="30"/>
      <c r="BD1154" s="30"/>
      <c r="BE1154" s="30"/>
      <c r="BF1154" s="30"/>
      <c r="BG1154" s="30"/>
      <c r="BH1154" s="30"/>
      <c r="BI1154" s="16"/>
      <c r="BJ1154" s="30"/>
      <c r="BK1154" s="16">
        <f>13.5/100000</f>
        <v>1.35E-4</v>
      </c>
      <c r="BL1154" s="30"/>
      <c r="BM1154" s="30"/>
      <c r="BN1154" s="30"/>
      <c r="BO1154" s="30"/>
      <c r="BP1154" s="30"/>
      <c r="BQ1154" s="30"/>
      <c r="BR1154" s="16"/>
      <c r="BS1154" s="30"/>
      <c r="BT1154" s="30"/>
      <c r="BU1154" s="30"/>
      <c r="BV1154" s="30"/>
      <c r="BW1154" s="30"/>
      <c r="BX1154" s="30"/>
      <c r="BY1154" s="30"/>
      <c r="BZ1154" s="16"/>
      <c r="CA1154" s="16"/>
      <c r="CB1154" s="16"/>
      <c r="CC1154" s="16"/>
      <c r="CD1154" s="16"/>
      <c r="CE1154" s="16">
        <f>10/100000</f>
        <v>1E-4</v>
      </c>
      <c r="CF1154" s="30"/>
      <c r="CG1154" s="30"/>
      <c r="CH1154" s="74"/>
    </row>
    <row r="1155" spans="1:86" x14ac:dyDescent="0.2">
      <c r="A1155" s="3" t="s">
        <v>37</v>
      </c>
      <c r="B1155" s="39">
        <v>989</v>
      </c>
      <c r="C1155" s="82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c r="AJ1155" s="30"/>
      <c r="AK1155" s="30"/>
      <c r="AL1155" s="30"/>
      <c r="AM1155" s="30"/>
      <c r="AN1155" s="30"/>
      <c r="AO1155" s="30"/>
      <c r="AP1155" s="30"/>
      <c r="AQ1155" s="30"/>
      <c r="AR1155" s="30"/>
      <c r="AS1155" s="30"/>
      <c r="AT1155" s="30"/>
      <c r="AU1155" s="30"/>
      <c r="AV1155" s="30"/>
      <c r="AW1155" s="30"/>
      <c r="AX1155" s="30"/>
      <c r="AY1155" s="30"/>
      <c r="AZ1155" s="30"/>
      <c r="BA1155" s="30"/>
      <c r="BB1155" s="30"/>
      <c r="BC1155" s="30"/>
      <c r="BD1155" s="30"/>
      <c r="BE1155" s="30"/>
      <c r="BF1155" s="30"/>
      <c r="BG1155" s="30"/>
      <c r="BH1155" s="30"/>
      <c r="BI1155" s="16"/>
      <c r="BJ1155" s="30"/>
      <c r="BK1155" s="16">
        <f>8.2/100000</f>
        <v>8.1999999999999987E-5</v>
      </c>
      <c r="BL1155" s="30"/>
      <c r="BM1155" s="30"/>
      <c r="BN1155" s="30"/>
      <c r="BO1155" s="30"/>
      <c r="BP1155" s="30"/>
      <c r="BQ1155" s="30"/>
      <c r="BR1155" s="16"/>
      <c r="BS1155" s="30"/>
      <c r="BT1155" s="30"/>
      <c r="BU1155" s="30"/>
      <c r="BV1155" s="30"/>
      <c r="BW1155" s="30"/>
      <c r="BX1155" s="30"/>
      <c r="BY1155" s="30"/>
      <c r="BZ1155" s="16"/>
      <c r="CA1155" s="16"/>
      <c r="CB1155" s="16"/>
      <c r="CC1155" s="16"/>
      <c r="CD1155" s="16"/>
      <c r="CE1155" s="16">
        <f>7/100000</f>
        <v>6.9999999999999994E-5</v>
      </c>
      <c r="CF1155" s="30"/>
      <c r="CG1155" s="30"/>
      <c r="CH1155" s="74"/>
    </row>
    <row r="1156" spans="1:86" x14ac:dyDescent="0.2">
      <c r="A1156" s="3" t="s">
        <v>37</v>
      </c>
      <c r="B1156" s="39">
        <v>990</v>
      </c>
      <c r="C1156" s="82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  <c r="AZ1156" s="30"/>
      <c r="BA1156" s="30"/>
      <c r="BB1156" s="30"/>
      <c r="BC1156" s="30"/>
      <c r="BD1156" s="30"/>
      <c r="BE1156" s="30"/>
      <c r="BF1156" s="30"/>
      <c r="BG1156" s="30"/>
      <c r="BH1156" s="30"/>
      <c r="BI1156" s="16"/>
      <c r="BJ1156" s="30"/>
      <c r="BK1156" s="16"/>
      <c r="BL1156" s="30"/>
      <c r="BM1156" s="30"/>
      <c r="BN1156" s="30"/>
      <c r="BO1156" s="30"/>
      <c r="BP1156" s="30"/>
      <c r="BQ1156" s="30"/>
      <c r="BR1156" s="16">
        <f>6.8/100000</f>
        <v>6.7999999999999999E-5</v>
      </c>
      <c r="BS1156" s="30"/>
      <c r="BT1156" s="30"/>
      <c r="BU1156" s="30"/>
      <c r="BV1156" s="30"/>
      <c r="BW1156" s="30"/>
      <c r="BX1156" s="30"/>
      <c r="BY1156" s="30"/>
      <c r="BZ1156" s="16"/>
      <c r="CA1156" s="16"/>
      <c r="CB1156" s="16"/>
      <c r="CC1156" s="16">
        <f>10.7/100000</f>
        <v>1.07E-4</v>
      </c>
      <c r="CD1156" s="16"/>
      <c r="CE1156" s="16"/>
      <c r="CF1156" s="30"/>
      <c r="CG1156" s="30"/>
      <c r="CH1156" s="74"/>
    </row>
    <row r="1157" spans="1:86" x14ac:dyDescent="0.2">
      <c r="A1157" s="3" t="s">
        <v>37</v>
      </c>
      <c r="B1157" s="39">
        <v>991</v>
      </c>
      <c r="C1157" s="82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c r="AJ1157" s="30"/>
      <c r="AK1157" s="30"/>
      <c r="AL1157" s="30"/>
      <c r="AM1157" s="30"/>
      <c r="AN1157" s="30"/>
      <c r="AO1157" s="30"/>
      <c r="AP1157" s="30"/>
      <c r="AQ1157" s="30"/>
      <c r="AR1157" s="30"/>
      <c r="AS1157" s="30"/>
      <c r="AT1157" s="30"/>
      <c r="AU1157" s="30"/>
      <c r="AV1157" s="30"/>
      <c r="AW1157" s="30"/>
      <c r="AX1157" s="30"/>
      <c r="AY1157" s="30"/>
      <c r="AZ1157" s="30"/>
      <c r="BA1157" s="30"/>
      <c r="BB1157" s="30"/>
      <c r="BC1157" s="30"/>
      <c r="BD1157" s="30"/>
      <c r="BE1157" s="30"/>
      <c r="BF1157" s="30"/>
      <c r="BG1157" s="30"/>
      <c r="BH1157" s="30"/>
      <c r="BI1157" s="16"/>
      <c r="BJ1157" s="30"/>
      <c r="BK1157" s="16">
        <f>14/100000</f>
        <v>1.3999999999999999E-4</v>
      </c>
      <c r="BL1157" s="30"/>
      <c r="BM1157" s="30"/>
      <c r="BN1157" s="30"/>
      <c r="BO1157" s="30"/>
      <c r="BP1157" s="30"/>
      <c r="BQ1157" s="30"/>
      <c r="BR1157" s="16"/>
      <c r="BS1157" s="30"/>
      <c r="BT1157" s="30"/>
      <c r="BU1157" s="30"/>
      <c r="BV1157" s="30"/>
      <c r="BW1157" s="30"/>
      <c r="BX1157" s="30"/>
      <c r="BY1157" s="30"/>
      <c r="BZ1157" s="16"/>
      <c r="CA1157" s="16"/>
      <c r="CB1157" s="16"/>
      <c r="CC1157" s="16"/>
      <c r="CD1157" s="16">
        <f>9/100000</f>
        <v>9.0000000000000006E-5</v>
      </c>
      <c r="CE1157" s="16"/>
      <c r="CF1157" s="30"/>
      <c r="CG1157" s="30"/>
      <c r="CH1157" s="74"/>
    </row>
    <row r="1158" spans="1:86" x14ac:dyDescent="0.2">
      <c r="A1158" s="3" t="s">
        <v>37</v>
      </c>
      <c r="B1158" s="39">
        <v>992</v>
      </c>
      <c r="C1158" s="82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c r="AJ1158" s="30"/>
      <c r="AK1158" s="30"/>
      <c r="AL1158" s="30"/>
      <c r="AM1158" s="30"/>
      <c r="AN1158" s="30"/>
      <c r="AO1158" s="30"/>
      <c r="AP1158" s="30"/>
      <c r="AQ1158" s="30"/>
      <c r="AR1158" s="30"/>
      <c r="AS1158" s="30"/>
      <c r="AT1158" s="30"/>
      <c r="AU1158" s="30"/>
      <c r="AV1158" s="30"/>
      <c r="AW1158" s="30"/>
      <c r="AX1158" s="30"/>
      <c r="AY1158" s="30"/>
      <c r="AZ1158" s="30"/>
      <c r="BA1158" s="30"/>
      <c r="BB1158" s="30"/>
      <c r="BC1158" s="30"/>
      <c r="BD1158" s="30"/>
      <c r="BE1158" s="30"/>
      <c r="BF1158" s="30"/>
      <c r="BG1158" s="30"/>
      <c r="BH1158" s="30"/>
      <c r="BI1158" s="16"/>
      <c r="BJ1158" s="30"/>
      <c r="BK1158" s="16"/>
      <c r="BL1158" s="30"/>
      <c r="BM1158" s="31">
        <f>6.38/100000</f>
        <v>6.3799999999999992E-5</v>
      </c>
      <c r="BN1158" s="31">
        <f>6.14/100000</f>
        <v>6.1400000000000002E-5</v>
      </c>
      <c r="BO1158" s="31">
        <f>6.55/100000</f>
        <v>6.5499999999999993E-5</v>
      </c>
      <c r="BP1158" s="31">
        <f>5.46/100000</f>
        <v>5.4599999999999999E-5</v>
      </c>
      <c r="BQ1158" s="31">
        <f>5.43/100000</f>
        <v>5.4299999999999998E-5</v>
      </c>
      <c r="BR1158" s="31">
        <f>4.78/100000</f>
        <v>4.7800000000000003E-5</v>
      </c>
      <c r="BS1158" s="31">
        <f>4.5/100000</f>
        <v>4.5000000000000003E-5</v>
      </c>
      <c r="BT1158" s="31">
        <f>4.72/100000</f>
        <v>4.7199999999999995E-5</v>
      </c>
      <c r="BU1158" s="31">
        <f>4.85/100000</f>
        <v>4.85E-5</v>
      </c>
      <c r="BV1158" s="31">
        <f>4.71/100000</f>
        <v>4.71E-5</v>
      </c>
      <c r="BW1158" s="31">
        <f>5.02/100000</f>
        <v>5.0199999999999994E-5</v>
      </c>
      <c r="BX1158" s="31">
        <f>5.02/100000</f>
        <v>5.0199999999999994E-5</v>
      </c>
      <c r="BY1158" s="31">
        <f>5.2/100000</f>
        <v>5.2000000000000004E-5</v>
      </c>
      <c r="BZ1158" s="31">
        <f>5.02/100000</f>
        <v>5.0199999999999994E-5</v>
      </c>
      <c r="CA1158" s="31">
        <f>4.99/100000</f>
        <v>4.99E-5</v>
      </c>
      <c r="CB1158" s="31">
        <f>5.67/100000</f>
        <v>5.6700000000000003E-5</v>
      </c>
      <c r="CC1158" s="31">
        <f>6.11/100000</f>
        <v>6.1100000000000008E-5</v>
      </c>
      <c r="CD1158" s="31">
        <f>5.83/100000</f>
        <v>5.8300000000000001E-5</v>
      </c>
      <c r="CE1158" s="31">
        <f>5.87/100000</f>
        <v>5.8700000000000004E-5</v>
      </c>
      <c r="CF1158" s="30"/>
      <c r="CG1158" s="30"/>
      <c r="CH1158" s="74"/>
    </row>
    <row r="1159" spans="1:86" x14ac:dyDescent="0.2">
      <c r="A1159" s="3" t="s">
        <v>37</v>
      </c>
      <c r="B1159" s="39">
        <v>993</v>
      </c>
      <c r="C1159" s="82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c r="AJ1159" s="30"/>
      <c r="AK1159" s="30"/>
      <c r="AL1159" s="30"/>
      <c r="AM1159" s="30"/>
      <c r="AN1159" s="30"/>
      <c r="AO1159" s="30"/>
      <c r="AP1159" s="30"/>
      <c r="AQ1159" s="30"/>
      <c r="AR1159" s="30"/>
      <c r="AS1159" s="30"/>
      <c r="AT1159" s="30"/>
      <c r="AU1159" s="30"/>
      <c r="AV1159" s="30"/>
      <c r="AW1159" s="30"/>
      <c r="AX1159" s="30"/>
      <c r="AY1159" s="30"/>
      <c r="AZ1159" s="30"/>
      <c r="BA1159" s="30"/>
      <c r="BB1159" s="30"/>
      <c r="BC1159" s="30"/>
      <c r="BD1159" s="30"/>
      <c r="BE1159" s="30"/>
      <c r="BF1159" s="30"/>
      <c r="BG1159" s="30"/>
      <c r="BH1159" s="30"/>
      <c r="BI1159" s="16"/>
      <c r="BJ1159" s="30"/>
      <c r="BK1159" s="16"/>
      <c r="BL1159" s="30"/>
      <c r="BM1159" s="31"/>
      <c r="BN1159" s="16">
        <f>2.5/100000</f>
        <v>2.5000000000000001E-5</v>
      </c>
      <c r="BO1159" s="31"/>
      <c r="BP1159" s="31"/>
      <c r="BQ1159" s="31"/>
      <c r="BR1159" s="31"/>
      <c r="BS1159" s="31"/>
      <c r="BT1159" s="31"/>
      <c r="BU1159" s="31"/>
      <c r="BV1159" s="31"/>
      <c r="BW1159" s="31"/>
      <c r="BX1159" s="31"/>
      <c r="BY1159" s="31"/>
      <c r="BZ1159" s="31"/>
      <c r="CA1159" s="31"/>
      <c r="CB1159" s="16">
        <f>5/100000</f>
        <v>5.0000000000000002E-5</v>
      </c>
      <c r="CC1159" s="31"/>
      <c r="CD1159" s="31"/>
      <c r="CE1159" s="31"/>
      <c r="CF1159" s="30"/>
      <c r="CG1159" s="30"/>
      <c r="CH1159" s="74"/>
    </row>
    <row r="1160" spans="1:86" x14ac:dyDescent="0.2">
      <c r="A1160" s="3" t="s">
        <v>37</v>
      </c>
      <c r="B1160" s="39">
        <v>994</v>
      </c>
      <c r="C1160" s="82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16">
        <f>11.9/100000</f>
        <v>1.1900000000000001E-4</v>
      </c>
      <c r="AI1160" s="30"/>
      <c r="AJ1160" s="30"/>
      <c r="AK1160" s="30"/>
      <c r="AL1160" s="16">
        <f>7.9/100000</f>
        <v>7.9000000000000009E-5</v>
      </c>
      <c r="AM1160" s="30"/>
      <c r="AN1160" s="30"/>
      <c r="AO1160" s="30"/>
      <c r="AP1160" s="30"/>
      <c r="AQ1160" s="30"/>
      <c r="AR1160" s="16">
        <f>9.5/100000</f>
        <v>9.5000000000000005E-5</v>
      </c>
      <c r="AS1160" s="30"/>
      <c r="AT1160" s="30"/>
      <c r="AU1160" s="30"/>
      <c r="AV1160" s="30"/>
      <c r="AW1160" s="30"/>
      <c r="AX1160" s="30"/>
      <c r="AY1160" s="30"/>
      <c r="AZ1160" s="30"/>
      <c r="BA1160" s="30"/>
      <c r="BB1160" s="30"/>
      <c r="BC1160" s="30"/>
      <c r="BD1160" s="16">
        <f>3.4/100000</f>
        <v>3.4E-5</v>
      </c>
      <c r="BE1160" s="30"/>
      <c r="BF1160" s="30"/>
      <c r="BG1160" s="30"/>
      <c r="BH1160" s="30"/>
      <c r="BI1160" s="16"/>
      <c r="BJ1160" s="30"/>
      <c r="BK1160" s="16"/>
      <c r="BL1160" s="30"/>
      <c r="BM1160" s="31"/>
      <c r="BN1160" s="16"/>
      <c r="BO1160" s="31"/>
      <c r="BP1160" s="31"/>
      <c r="BQ1160" s="16">
        <f>6/100000</f>
        <v>6.0000000000000002E-5</v>
      </c>
      <c r="BR1160" s="31"/>
      <c r="BS1160" s="31"/>
      <c r="BT1160" s="31"/>
      <c r="BU1160" s="31"/>
      <c r="BV1160" s="31"/>
      <c r="BW1160" s="31"/>
      <c r="BX1160" s="31"/>
      <c r="BY1160" s="31"/>
      <c r="BZ1160" s="16">
        <f>4/100000</f>
        <v>4.0000000000000003E-5</v>
      </c>
      <c r="CA1160" s="31"/>
      <c r="CB1160" s="16"/>
      <c r="CC1160" s="31"/>
      <c r="CD1160" s="16">
        <f>8/100000</f>
        <v>8.0000000000000007E-5</v>
      </c>
      <c r="CE1160" s="31"/>
      <c r="CF1160" s="30"/>
      <c r="CG1160" s="30"/>
      <c r="CH1160" s="74"/>
    </row>
    <row r="1161" spans="1:86" x14ac:dyDescent="0.2">
      <c r="A1161" s="3" t="s">
        <v>37</v>
      </c>
      <c r="B1161" s="39">
        <v>995</v>
      </c>
      <c r="C1161" s="82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16"/>
      <c r="AI1161" s="30"/>
      <c r="AJ1161" s="30"/>
      <c r="AK1161" s="16"/>
      <c r="AL1161" s="16"/>
      <c r="AM1161" s="30"/>
      <c r="AN1161" s="30"/>
      <c r="AO1161" s="30"/>
      <c r="AP1161" s="16"/>
      <c r="AQ1161" s="30"/>
      <c r="AR1161" s="16"/>
      <c r="AS1161" s="16">
        <f>10/100000</f>
        <v>1E-4</v>
      </c>
      <c r="AT1161" s="16">
        <f>12/100000</f>
        <v>1.2E-4</v>
      </c>
      <c r="AU1161" s="16">
        <f>10/100000</f>
        <v>1E-4</v>
      </c>
      <c r="AV1161" s="16">
        <f>12/100000</f>
        <v>1.2E-4</v>
      </c>
      <c r="AW1161" s="16">
        <f>11/100000</f>
        <v>1.1E-4</v>
      </c>
      <c r="AX1161" s="16">
        <f>10/100000</f>
        <v>1E-4</v>
      </c>
      <c r="AY1161" s="16">
        <f>11/100000</f>
        <v>1.1E-4</v>
      </c>
      <c r="AZ1161" s="16">
        <f>11/100000</f>
        <v>1.1E-4</v>
      </c>
      <c r="BA1161" s="16">
        <f>13/100000</f>
        <v>1.2999999999999999E-4</v>
      </c>
      <c r="BB1161" s="16">
        <f>14/100000</f>
        <v>1.3999999999999999E-4</v>
      </c>
      <c r="BC1161" s="16">
        <f>14/100000</f>
        <v>1.3999999999999999E-4</v>
      </c>
      <c r="BD1161" s="16"/>
      <c r="BE1161" s="16"/>
      <c r="BF1161" s="30"/>
      <c r="BG1161" s="30"/>
      <c r="BH1161" s="30"/>
      <c r="BI1161" s="16"/>
      <c r="BJ1161" s="16"/>
      <c r="BK1161" s="16"/>
      <c r="BL1161" s="30"/>
      <c r="BM1161" s="31"/>
      <c r="BN1161" s="16"/>
      <c r="BO1161" s="16"/>
      <c r="BP1161" s="31"/>
      <c r="BQ1161" s="16"/>
      <c r="BR1161" s="31"/>
      <c r="BS1161" s="31"/>
      <c r="BT1161" s="16"/>
      <c r="BU1161" s="31"/>
      <c r="BV1161" s="31"/>
      <c r="BW1161" s="31"/>
      <c r="BX1161" s="31"/>
      <c r="BY1161" s="16"/>
      <c r="BZ1161" s="16"/>
      <c r="CA1161" s="31"/>
      <c r="CB1161" s="16"/>
      <c r="CC1161" s="16"/>
      <c r="CD1161" s="16"/>
      <c r="CE1161" s="31"/>
      <c r="CF1161" s="30"/>
      <c r="CG1161" s="30"/>
      <c r="CH1161" s="74"/>
    </row>
    <row r="1162" spans="1:86" x14ac:dyDescent="0.2">
      <c r="A1162" s="3" t="s">
        <v>37</v>
      </c>
      <c r="B1162" s="39">
        <v>996</v>
      </c>
      <c r="C1162" s="82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16"/>
      <c r="AI1162" s="30"/>
      <c r="AJ1162" s="30"/>
      <c r="AK1162" s="16"/>
      <c r="AL1162" s="16"/>
      <c r="AM1162" s="31">
        <f>12.2/100000</f>
        <v>1.22E-4</v>
      </c>
      <c r="AN1162" s="31">
        <f>13.36/100000</f>
        <v>1.3359999999999999E-4</v>
      </c>
      <c r="AO1162" s="31">
        <f>10.67/100000</f>
        <v>1.0670000000000001E-4</v>
      </c>
      <c r="AP1162" s="31">
        <f>11.36/100000</f>
        <v>1.136E-4</v>
      </c>
      <c r="AQ1162" s="31">
        <f>13.85/100000</f>
        <v>1.3850000000000001E-4</v>
      </c>
      <c r="AR1162" s="31">
        <f>13.05/100000</f>
        <v>1.305E-4</v>
      </c>
      <c r="AS1162" s="31">
        <f>14.23/100000</f>
        <v>1.4230000000000002E-4</v>
      </c>
      <c r="AT1162" s="31">
        <f>18.65/100000</f>
        <v>1.8649999999999998E-4</v>
      </c>
      <c r="AU1162" s="31">
        <f>17.23/100000</f>
        <v>1.7230000000000001E-4</v>
      </c>
      <c r="AV1162" s="31">
        <f>18.67/100000</f>
        <v>1.8670000000000001E-4</v>
      </c>
      <c r="AW1162" s="31">
        <f>17.77/100000</f>
        <v>1.7769999999999998E-4</v>
      </c>
      <c r="AX1162" s="31">
        <f>18.73/100000</f>
        <v>1.873E-4</v>
      </c>
      <c r="AY1162" s="31">
        <f>19.23/100000</f>
        <v>1.9230000000000001E-4</v>
      </c>
      <c r="AZ1162" s="31">
        <f>16.72/100000</f>
        <v>1.672E-4</v>
      </c>
      <c r="BA1162" s="31">
        <f>16.59/100000</f>
        <v>1.6589999999999999E-4</v>
      </c>
      <c r="BB1162" s="31">
        <f>16.02/100000</f>
        <v>1.6019999999999999E-4</v>
      </c>
      <c r="BC1162" s="31">
        <f>15.63/100000</f>
        <v>1.563E-4</v>
      </c>
      <c r="BD1162" s="31">
        <f>18.76/100000</f>
        <v>1.8760000000000001E-4</v>
      </c>
      <c r="BE1162" s="31">
        <f>18.76/100000</f>
        <v>1.8760000000000001E-4</v>
      </c>
      <c r="BF1162" s="31">
        <f>17.31/100000</f>
        <v>1.7309999999999998E-4</v>
      </c>
      <c r="BG1162" s="30"/>
      <c r="BH1162" s="30"/>
      <c r="BI1162" s="16"/>
      <c r="BJ1162" s="16"/>
      <c r="BK1162" s="16"/>
      <c r="BL1162" s="30"/>
      <c r="BM1162" s="31"/>
      <c r="BN1162" s="16"/>
      <c r="BO1162" s="16"/>
      <c r="BP1162" s="31"/>
      <c r="BQ1162" s="16"/>
      <c r="BR1162" s="31"/>
      <c r="BS1162" s="31"/>
      <c r="BT1162" s="16"/>
      <c r="BU1162" s="31"/>
      <c r="BV1162" s="31"/>
      <c r="BW1162" s="31"/>
      <c r="BX1162" s="31"/>
      <c r="BY1162" s="16"/>
      <c r="BZ1162" s="16"/>
      <c r="CA1162" s="31"/>
      <c r="CB1162" s="16"/>
      <c r="CC1162" s="16"/>
      <c r="CD1162" s="16"/>
      <c r="CE1162" s="31"/>
      <c r="CF1162" s="30"/>
      <c r="CG1162" s="30"/>
      <c r="CH1162" s="74"/>
    </row>
    <row r="1163" spans="1:86" x14ac:dyDescent="0.2">
      <c r="A1163" s="3" t="s">
        <v>37</v>
      </c>
      <c r="B1163" s="39">
        <v>996</v>
      </c>
      <c r="C1163" s="82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16"/>
      <c r="AI1163" s="30"/>
      <c r="AJ1163" s="30"/>
      <c r="AK1163" s="16"/>
      <c r="AL1163" s="16"/>
      <c r="AM1163" s="31">
        <f>3.74/100000</f>
        <v>3.7400000000000001E-5</v>
      </c>
      <c r="AN1163" s="31">
        <f>3.25/100000</f>
        <v>3.2499999999999997E-5</v>
      </c>
      <c r="AO1163" s="31">
        <f>3.56/100000</f>
        <v>3.5599999999999998E-5</v>
      </c>
      <c r="AP1163" s="31">
        <f>3.21/100000</f>
        <v>3.2100000000000001E-5</v>
      </c>
      <c r="AQ1163" s="31">
        <f>3.41/100000</f>
        <v>3.4100000000000002E-5</v>
      </c>
      <c r="AR1163" s="31">
        <f>3.43/100000</f>
        <v>3.43E-5</v>
      </c>
      <c r="AS1163" s="31">
        <f>4.47/100000</f>
        <v>4.4699999999999996E-5</v>
      </c>
      <c r="AT1163" s="31">
        <f>4.67/100000</f>
        <v>4.6699999999999997E-5</v>
      </c>
      <c r="AU1163" s="31">
        <f>5.02/100000</f>
        <v>5.0199999999999994E-5</v>
      </c>
      <c r="AV1163" s="31">
        <f>4.79/100000</f>
        <v>4.7899999999999999E-5</v>
      </c>
      <c r="AW1163" s="31">
        <f>5.75/100000</f>
        <v>5.7500000000000002E-5</v>
      </c>
      <c r="AX1163" s="31">
        <f>6.36/100000</f>
        <v>6.3600000000000001E-5</v>
      </c>
      <c r="AY1163" s="31">
        <f>5.72/100000</f>
        <v>5.7199999999999994E-5</v>
      </c>
      <c r="AZ1163" s="31">
        <f>5.58/100000</f>
        <v>5.5800000000000001E-5</v>
      </c>
      <c r="BA1163" s="31">
        <f>5.38/100000</f>
        <v>5.38E-5</v>
      </c>
      <c r="BB1163" s="31">
        <f>4.59/100000</f>
        <v>4.5899999999999998E-5</v>
      </c>
      <c r="BC1163" s="31">
        <f>3.99/100000</f>
        <v>3.9900000000000001E-5</v>
      </c>
      <c r="BD1163" s="31">
        <f>4.5/100000</f>
        <v>4.5000000000000003E-5</v>
      </c>
      <c r="BE1163" s="31">
        <f>4.55/100000</f>
        <v>4.5500000000000001E-5</v>
      </c>
      <c r="BF1163" s="31">
        <f>4.36/100000</f>
        <v>4.3600000000000003E-5</v>
      </c>
      <c r="BG1163" s="30"/>
      <c r="BH1163" s="30"/>
      <c r="BI1163" s="16"/>
      <c r="BJ1163" s="16"/>
      <c r="BK1163" s="16"/>
      <c r="BL1163" s="30"/>
      <c r="BM1163" s="31"/>
      <c r="BN1163" s="16"/>
      <c r="BO1163" s="16"/>
      <c r="BP1163" s="31"/>
      <c r="BQ1163" s="16"/>
      <c r="BR1163" s="31"/>
      <c r="BS1163" s="31"/>
      <c r="BT1163" s="16"/>
      <c r="BU1163" s="31"/>
      <c r="BV1163" s="31"/>
      <c r="BW1163" s="31"/>
      <c r="BX1163" s="31"/>
      <c r="BY1163" s="16"/>
      <c r="BZ1163" s="16"/>
      <c r="CA1163" s="31"/>
      <c r="CB1163" s="16"/>
      <c r="CC1163" s="16"/>
      <c r="CD1163" s="16"/>
      <c r="CE1163" s="31"/>
      <c r="CF1163" s="30"/>
      <c r="CG1163" s="30"/>
      <c r="CH1163" s="74"/>
    </row>
    <row r="1164" spans="1:86" x14ac:dyDescent="0.2">
      <c r="A1164" s="3" t="s">
        <v>37</v>
      </c>
      <c r="B1164" s="39">
        <v>997</v>
      </c>
      <c r="C1164" s="82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16"/>
      <c r="AI1164" s="30"/>
      <c r="AJ1164" s="30"/>
      <c r="AK1164" s="16"/>
      <c r="AL1164" s="16"/>
      <c r="AM1164" s="31"/>
      <c r="AN1164" s="31"/>
      <c r="AO1164" s="31"/>
      <c r="AP1164" s="31"/>
      <c r="AQ1164" s="31"/>
      <c r="AR1164" s="31"/>
      <c r="AS1164" s="31"/>
      <c r="AU1164" s="31">
        <f>11.6/100000</f>
        <v>1.16E-4</v>
      </c>
      <c r="AV1164" s="31"/>
      <c r="AW1164" s="31"/>
      <c r="AX1164" s="31"/>
      <c r="BA1164" s="31"/>
      <c r="BB1164" s="31"/>
      <c r="BC1164" s="31"/>
      <c r="BD1164" s="31"/>
      <c r="BE1164" s="31">
        <f>11.1/100000</f>
        <v>1.11E-4</v>
      </c>
      <c r="BF1164" s="31"/>
      <c r="BG1164" s="30"/>
      <c r="BH1164" s="30"/>
      <c r="BI1164" s="16"/>
      <c r="BJ1164" s="31">
        <f>10.8/100000</f>
        <v>1.0800000000000001E-4</v>
      </c>
      <c r="BK1164" s="16"/>
      <c r="BL1164" s="30"/>
      <c r="BM1164" s="31"/>
      <c r="BN1164" s="16"/>
      <c r="BO1164" s="16"/>
      <c r="BP1164" s="31"/>
      <c r="BQ1164" s="16"/>
      <c r="BR1164" s="31"/>
      <c r="BS1164" s="31"/>
      <c r="BT1164" s="16"/>
      <c r="BU1164" s="31"/>
      <c r="BV1164" s="31"/>
      <c r="BW1164" s="31"/>
      <c r="BX1164" s="31"/>
      <c r="BY1164" s="16"/>
      <c r="BZ1164" s="16"/>
      <c r="CA1164" s="31"/>
      <c r="CB1164" s="16"/>
      <c r="CC1164" s="16"/>
      <c r="CD1164" s="16"/>
      <c r="CE1164" s="31"/>
      <c r="CF1164" s="30"/>
      <c r="CG1164" s="30"/>
      <c r="CH1164" s="74"/>
    </row>
    <row r="1165" spans="1:86" x14ac:dyDescent="0.2">
      <c r="A1165" s="3" t="s">
        <v>37</v>
      </c>
      <c r="B1165" s="39">
        <v>997</v>
      </c>
      <c r="C1165" s="82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16"/>
      <c r="AI1165" s="30"/>
      <c r="AJ1165" s="30"/>
      <c r="AK1165" s="16"/>
      <c r="AL1165" s="16"/>
      <c r="AM1165" s="31"/>
      <c r="AN1165" s="31"/>
      <c r="AO1165" s="31"/>
      <c r="AP1165" s="31"/>
      <c r="AQ1165" s="31"/>
      <c r="AR1165" s="31"/>
      <c r="AS1165" s="31"/>
      <c r="AU1165" s="31">
        <f>3.7/100000</f>
        <v>3.7000000000000005E-5</v>
      </c>
      <c r="AV1165" s="31"/>
      <c r="AW1165" s="31"/>
      <c r="AX1165" s="31"/>
      <c r="BA1165" s="31"/>
      <c r="BB1165" s="31"/>
      <c r="BC1165" s="31"/>
      <c r="BD1165" s="31"/>
      <c r="BE1165" s="31">
        <f>2.9/100000</f>
        <v>2.9E-5</v>
      </c>
      <c r="BF1165" s="31"/>
      <c r="BG1165" s="30"/>
      <c r="BH1165" s="30"/>
      <c r="BI1165" s="16"/>
      <c r="BJ1165" s="31">
        <f>2.9/100000</f>
        <v>2.9E-5</v>
      </c>
      <c r="BK1165" s="16"/>
      <c r="BL1165" s="30"/>
      <c r="BM1165" s="31"/>
      <c r="BN1165" s="16"/>
      <c r="BO1165" s="16"/>
      <c r="BP1165" s="31"/>
      <c r="BQ1165" s="16"/>
      <c r="BR1165" s="31"/>
      <c r="BS1165" s="31"/>
      <c r="BT1165" s="16"/>
      <c r="BU1165" s="31"/>
      <c r="BV1165" s="31"/>
      <c r="BW1165" s="31"/>
      <c r="BX1165" s="31"/>
      <c r="BY1165" s="16"/>
      <c r="BZ1165" s="16"/>
      <c r="CA1165" s="31"/>
      <c r="CB1165" s="16"/>
      <c r="CC1165" s="16"/>
      <c r="CD1165" s="16"/>
      <c r="CE1165" s="31"/>
      <c r="CF1165" s="30"/>
      <c r="CG1165" s="30"/>
      <c r="CH1165" s="74"/>
    </row>
    <row r="1166" spans="1:86" x14ac:dyDescent="0.2">
      <c r="A1166" s="3" t="s">
        <v>37</v>
      </c>
      <c r="B1166" s="39">
        <v>997</v>
      </c>
      <c r="C1166" s="82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16"/>
      <c r="AI1166" s="30"/>
      <c r="AJ1166" s="30"/>
      <c r="AK1166" s="16"/>
      <c r="AL1166" s="16"/>
      <c r="AM1166" s="31"/>
      <c r="AN1166" s="31"/>
      <c r="AO1166" s="31"/>
      <c r="AP1166" s="31"/>
      <c r="AQ1166" s="31"/>
      <c r="AR1166" s="31"/>
      <c r="AS1166" s="31"/>
      <c r="AU1166" s="31">
        <f>6.1/100000</f>
        <v>6.0999999999999999E-5</v>
      </c>
      <c r="AV1166" s="31"/>
      <c r="AW1166" s="31"/>
      <c r="AX1166" s="31"/>
      <c r="BA1166" s="31"/>
      <c r="BB1166" s="31"/>
      <c r="BC1166" s="31"/>
      <c r="BD1166" s="31"/>
      <c r="BE1166" s="31">
        <f>7.2/100000</f>
        <v>7.2000000000000002E-5</v>
      </c>
      <c r="BF1166" s="31"/>
      <c r="BG1166" s="30"/>
      <c r="BH1166" s="30"/>
      <c r="BI1166" s="16"/>
      <c r="BJ1166" s="31">
        <f>8.9/100000</f>
        <v>8.9000000000000008E-5</v>
      </c>
      <c r="BK1166" s="16"/>
      <c r="BL1166" s="30"/>
      <c r="BM1166" s="31"/>
      <c r="BN1166" s="16"/>
      <c r="BO1166" s="16"/>
      <c r="BP1166" s="31"/>
      <c r="BQ1166" s="16"/>
      <c r="BR1166" s="31"/>
      <c r="BS1166" s="31"/>
      <c r="BT1166" s="16"/>
      <c r="BU1166" s="31"/>
      <c r="BV1166" s="31"/>
      <c r="BW1166" s="31"/>
      <c r="BX1166" s="31"/>
      <c r="BY1166" s="16"/>
      <c r="BZ1166" s="16"/>
      <c r="CA1166" s="31"/>
      <c r="CB1166" s="16"/>
      <c r="CC1166" s="16"/>
      <c r="CD1166" s="16"/>
      <c r="CE1166" s="31"/>
      <c r="CF1166" s="30"/>
      <c r="CG1166" s="30"/>
      <c r="CH1166" s="74"/>
    </row>
    <row r="1167" spans="1:86" x14ac:dyDescent="0.2">
      <c r="A1167" s="3" t="s">
        <v>37</v>
      </c>
      <c r="B1167" s="39">
        <v>997</v>
      </c>
      <c r="C1167" s="82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16"/>
      <c r="AI1167" s="30"/>
      <c r="AJ1167" s="30"/>
      <c r="AK1167" s="16"/>
      <c r="AL1167" s="16"/>
      <c r="AM1167" s="31"/>
      <c r="AN1167" s="31"/>
      <c r="AO1167" s="31"/>
      <c r="AP1167" s="31"/>
      <c r="AQ1167" s="31"/>
      <c r="AR1167" s="31"/>
      <c r="AS1167" s="31"/>
      <c r="AU1167" s="31">
        <f>3.9/100000</f>
        <v>3.8999999999999999E-5</v>
      </c>
      <c r="AV1167" s="31"/>
      <c r="AW1167" s="31"/>
      <c r="AX1167" s="31"/>
      <c r="BA1167" s="31"/>
      <c r="BB1167" s="31"/>
      <c r="BC1167" s="31"/>
      <c r="BD1167" s="31"/>
      <c r="BE1167" s="31">
        <f>3/100000</f>
        <v>3.0000000000000001E-5</v>
      </c>
      <c r="BF1167" s="31"/>
      <c r="BG1167" s="30"/>
      <c r="BH1167" s="30"/>
      <c r="BI1167" s="16"/>
      <c r="BJ1167" s="31">
        <f>3.3/100000</f>
        <v>3.2999999999999996E-5</v>
      </c>
      <c r="BK1167" s="16"/>
      <c r="BL1167" s="30"/>
      <c r="BM1167" s="31"/>
      <c r="BN1167" s="16"/>
      <c r="BO1167" s="16"/>
      <c r="BP1167" s="31"/>
      <c r="BQ1167" s="16"/>
      <c r="BR1167" s="31"/>
      <c r="BS1167" s="31"/>
      <c r="BT1167" s="16"/>
      <c r="BU1167" s="31"/>
      <c r="BV1167" s="31"/>
      <c r="BW1167" s="31"/>
      <c r="BX1167" s="31"/>
      <c r="BY1167" s="16"/>
      <c r="BZ1167" s="16"/>
      <c r="CA1167" s="31"/>
      <c r="CB1167" s="16"/>
      <c r="CC1167" s="16"/>
      <c r="CD1167" s="16"/>
      <c r="CE1167" s="31"/>
      <c r="CF1167" s="30"/>
      <c r="CG1167" s="30"/>
      <c r="CH1167" s="74"/>
    </row>
    <row r="1168" spans="1:86" x14ac:dyDescent="0.2">
      <c r="A1168" s="3" t="s">
        <v>37</v>
      </c>
      <c r="B1168" s="39">
        <v>997</v>
      </c>
      <c r="C1168" s="82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16"/>
      <c r="AI1168" s="30"/>
      <c r="AJ1168" s="30"/>
      <c r="AK1168" s="16"/>
      <c r="AL1168" s="16"/>
      <c r="AM1168" s="31"/>
      <c r="AN1168" s="31"/>
      <c r="AO1168" s="31"/>
      <c r="AP1168" s="31"/>
      <c r="AQ1168" s="31"/>
      <c r="AR1168" s="31"/>
      <c r="AS1168" s="31"/>
      <c r="AU1168" s="31">
        <f>11/100000</f>
        <v>1.1E-4</v>
      </c>
      <c r="AV1168" s="31"/>
      <c r="AW1168" s="31"/>
      <c r="AX1168" s="31"/>
      <c r="BA1168" s="31"/>
      <c r="BB1168" s="31"/>
      <c r="BC1168" s="31"/>
      <c r="BD1168" s="31"/>
      <c r="BE1168" s="31">
        <f>9.5/100000</f>
        <v>9.5000000000000005E-5</v>
      </c>
      <c r="BF1168" s="31"/>
      <c r="BG1168" s="30"/>
      <c r="BH1168" s="30"/>
      <c r="BI1168" s="16"/>
      <c r="BJ1168" s="31"/>
      <c r="BK1168" s="16"/>
      <c r="BL1168" s="30"/>
      <c r="BM1168" s="31"/>
      <c r="BN1168" s="16"/>
      <c r="BO1168" s="16"/>
      <c r="BP1168" s="31"/>
      <c r="BQ1168" s="16"/>
      <c r="BR1168" s="31"/>
      <c r="BS1168" s="31"/>
      <c r="BT1168" s="16"/>
      <c r="BU1168" s="31"/>
      <c r="BV1168" s="31"/>
      <c r="BW1168" s="31"/>
      <c r="BX1168" s="31"/>
      <c r="BY1168" s="16"/>
      <c r="BZ1168" s="16"/>
      <c r="CA1168" s="31"/>
      <c r="CB1168" s="16"/>
      <c r="CC1168" s="16"/>
      <c r="CD1168" s="16"/>
      <c r="CE1168" s="31"/>
      <c r="CF1168" s="30"/>
      <c r="CG1168" s="30"/>
      <c r="CH1168" s="74"/>
    </row>
    <row r="1169" spans="1:86" x14ac:dyDescent="0.2">
      <c r="A1169" s="3" t="s">
        <v>37</v>
      </c>
      <c r="B1169" s="39">
        <v>997</v>
      </c>
      <c r="C1169" s="82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16"/>
      <c r="AI1169" s="30"/>
      <c r="AJ1169" s="30"/>
      <c r="AK1169" s="16"/>
      <c r="AL1169" s="16"/>
      <c r="AM1169" s="31"/>
      <c r="AN1169" s="31"/>
      <c r="AO1169" s="31"/>
      <c r="AP1169" s="31"/>
      <c r="AQ1169" s="31"/>
      <c r="AR1169" s="31"/>
      <c r="AS1169" s="31"/>
      <c r="AU1169" s="31">
        <f>3.2/100000</f>
        <v>3.1999999999999999E-5</v>
      </c>
      <c r="AV1169" s="31"/>
      <c r="AW1169" s="31"/>
      <c r="AX1169" s="31"/>
      <c r="BA1169" s="31"/>
      <c r="BB1169" s="31"/>
      <c r="BC1169" s="31"/>
      <c r="BD1169" s="31"/>
      <c r="BE1169" s="31">
        <f>1.9/100000</f>
        <v>1.8999999999999998E-5</v>
      </c>
      <c r="BF1169" s="31"/>
      <c r="BG1169" s="30"/>
      <c r="BH1169" s="30"/>
      <c r="BI1169" s="16"/>
      <c r="BJ1169" s="31"/>
      <c r="BK1169" s="16"/>
      <c r="BL1169" s="30"/>
      <c r="BM1169" s="31"/>
      <c r="BN1169" s="16"/>
      <c r="BO1169" s="16"/>
      <c r="BP1169" s="31"/>
      <c r="BQ1169" s="16"/>
      <c r="BR1169" s="31"/>
      <c r="BS1169" s="31"/>
      <c r="BT1169" s="16"/>
      <c r="BU1169" s="31"/>
      <c r="BV1169" s="31"/>
      <c r="BW1169" s="31"/>
      <c r="BX1169" s="31"/>
      <c r="BY1169" s="16"/>
      <c r="BZ1169" s="16"/>
      <c r="CA1169" s="31"/>
      <c r="CB1169" s="16"/>
      <c r="CC1169" s="16"/>
      <c r="CD1169" s="16"/>
      <c r="CE1169" s="31"/>
      <c r="CF1169" s="30"/>
      <c r="CG1169" s="30"/>
      <c r="CH1169" s="74"/>
    </row>
    <row r="1170" spans="1:86" x14ac:dyDescent="0.2">
      <c r="A1170" s="3" t="s">
        <v>37</v>
      </c>
      <c r="B1170" s="39">
        <v>997</v>
      </c>
      <c r="C1170" s="82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16"/>
      <c r="AI1170" s="30"/>
      <c r="AJ1170" s="30"/>
      <c r="AK1170" s="16"/>
      <c r="AL1170" s="16"/>
      <c r="AM1170" s="31"/>
      <c r="AN1170" s="31"/>
      <c r="AO1170" s="31"/>
      <c r="AP1170" s="31"/>
      <c r="AQ1170" s="31"/>
      <c r="AR1170" s="31"/>
      <c r="AS1170" s="31"/>
      <c r="AU1170" s="31">
        <f>8.8/100000</f>
        <v>8.8000000000000011E-5</v>
      </c>
      <c r="AV1170" s="31"/>
      <c r="AW1170" s="31"/>
      <c r="AX1170" s="31"/>
      <c r="BA1170" s="31"/>
      <c r="BB1170" s="31"/>
      <c r="BC1170" s="31"/>
      <c r="BD1170" s="31"/>
      <c r="BE1170" s="31">
        <f>8.7/100000</f>
        <v>8.6999999999999987E-5</v>
      </c>
      <c r="BF1170" s="31"/>
      <c r="BG1170" s="30"/>
      <c r="BH1170" s="30"/>
      <c r="BI1170" s="16"/>
      <c r="BJ1170" s="31">
        <f>11.9/100000</f>
        <v>1.1900000000000001E-4</v>
      </c>
      <c r="BK1170" s="16"/>
      <c r="BL1170" s="30"/>
      <c r="BM1170" s="31"/>
      <c r="BN1170" s="16"/>
      <c r="BO1170" s="16"/>
      <c r="BP1170" s="31"/>
      <c r="BQ1170" s="16"/>
      <c r="BR1170" s="31"/>
      <c r="BS1170" s="31"/>
      <c r="BT1170" s="16"/>
      <c r="BU1170" s="31"/>
      <c r="BV1170" s="31"/>
      <c r="BW1170" s="31"/>
      <c r="BX1170" s="31"/>
      <c r="BY1170" s="16"/>
      <c r="BZ1170" s="16"/>
      <c r="CA1170" s="31"/>
      <c r="CB1170" s="16"/>
      <c r="CC1170" s="16"/>
      <c r="CD1170" s="16"/>
      <c r="CE1170" s="31"/>
      <c r="CF1170" s="30"/>
      <c r="CG1170" s="30"/>
      <c r="CH1170" s="74"/>
    </row>
    <row r="1171" spans="1:86" x14ac:dyDescent="0.2">
      <c r="A1171" s="3" t="s">
        <v>37</v>
      </c>
      <c r="B1171" s="39">
        <v>997</v>
      </c>
      <c r="C1171" s="82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16"/>
      <c r="AI1171" s="30"/>
      <c r="AJ1171" s="30"/>
      <c r="AK1171" s="16"/>
      <c r="AL1171" s="16"/>
      <c r="AM1171" s="31"/>
      <c r="AN1171" s="31"/>
      <c r="AO1171" s="31"/>
      <c r="AP1171" s="31"/>
      <c r="AQ1171" s="31"/>
      <c r="AR1171" s="31"/>
      <c r="AS1171" s="31"/>
      <c r="AU1171" s="31">
        <f>3.4/100000</f>
        <v>3.4E-5</v>
      </c>
      <c r="AV1171" s="31"/>
      <c r="AW1171" s="31"/>
      <c r="AX1171" s="31"/>
      <c r="BA1171" s="31"/>
      <c r="BB1171" s="31"/>
      <c r="BC1171" s="31"/>
      <c r="BD1171" s="31"/>
      <c r="BE1171" s="31">
        <f>2.9/100000</f>
        <v>2.9E-5</v>
      </c>
      <c r="BF1171" s="31"/>
      <c r="BG1171" s="30"/>
      <c r="BH1171" s="30"/>
      <c r="BI1171" s="16"/>
      <c r="BJ1171" s="31">
        <f>4/100000</f>
        <v>4.0000000000000003E-5</v>
      </c>
      <c r="BK1171" s="16"/>
      <c r="BL1171" s="30"/>
      <c r="BM1171" s="31"/>
      <c r="BN1171" s="16"/>
      <c r="BO1171" s="16"/>
      <c r="BP1171" s="31"/>
      <c r="BQ1171" s="16"/>
      <c r="BR1171" s="31"/>
      <c r="BS1171" s="31"/>
      <c r="BT1171" s="16"/>
      <c r="BU1171" s="31"/>
      <c r="BV1171" s="31"/>
      <c r="BW1171" s="31"/>
      <c r="BX1171" s="31"/>
      <c r="BY1171" s="16"/>
      <c r="BZ1171" s="16"/>
      <c r="CA1171" s="31"/>
      <c r="CB1171" s="16"/>
      <c r="CC1171" s="16"/>
      <c r="CD1171" s="16"/>
      <c r="CE1171" s="31"/>
      <c r="CF1171" s="30"/>
      <c r="CG1171" s="30"/>
      <c r="CH1171" s="74"/>
    </row>
    <row r="1172" spans="1:86" x14ac:dyDescent="0.2">
      <c r="A1172" s="3" t="s">
        <v>37</v>
      </c>
      <c r="B1172" s="39">
        <v>997</v>
      </c>
      <c r="C1172" s="82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16"/>
      <c r="AI1172" s="30"/>
      <c r="AJ1172" s="30"/>
      <c r="AK1172" s="16"/>
      <c r="AL1172" s="16"/>
      <c r="AM1172" s="31"/>
      <c r="AN1172" s="31"/>
      <c r="AO1172" s="31"/>
      <c r="AP1172" s="31"/>
      <c r="AQ1172" s="31"/>
      <c r="AR1172" s="31"/>
      <c r="AS1172" s="31"/>
      <c r="AU1172" s="31">
        <f>8.3/100000</f>
        <v>8.3000000000000012E-5</v>
      </c>
      <c r="AV1172" s="31"/>
      <c r="AW1172" s="31"/>
      <c r="AX1172" s="31"/>
      <c r="BA1172" s="31"/>
      <c r="BB1172" s="31"/>
      <c r="BC1172" s="31"/>
      <c r="BD1172" s="31"/>
      <c r="BE1172" s="31">
        <f>13/100000</f>
        <v>1.2999999999999999E-4</v>
      </c>
      <c r="BF1172" s="31"/>
      <c r="BG1172" s="30"/>
      <c r="BH1172" s="30"/>
      <c r="BI1172" s="16"/>
      <c r="BJ1172" s="31">
        <f>13.3/100000</f>
        <v>1.3300000000000001E-4</v>
      </c>
      <c r="BK1172" s="16"/>
      <c r="BL1172" s="30"/>
      <c r="BM1172" s="31"/>
      <c r="BN1172" s="16"/>
      <c r="BO1172" s="16"/>
      <c r="BP1172" s="31"/>
      <c r="BQ1172" s="16"/>
      <c r="BR1172" s="31"/>
      <c r="BS1172" s="31"/>
      <c r="BT1172" s="16"/>
      <c r="BU1172" s="31"/>
      <c r="BV1172" s="31"/>
      <c r="BW1172" s="31"/>
      <c r="BX1172" s="31"/>
      <c r="BY1172" s="16"/>
      <c r="BZ1172" s="16"/>
      <c r="CA1172" s="31"/>
      <c r="CB1172" s="16"/>
      <c r="CC1172" s="16"/>
      <c r="CD1172" s="16"/>
      <c r="CE1172" s="31"/>
      <c r="CF1172" s="30"/>
      <c r="CG1172" s="30"/>
      <c r="CH1172" s="74"/>
    </row>
    <row r="1173" spans="1:86" x14ac:dyDescent="0.2">
      <c r="A1173" s="3" t="s">
        <v>37</v>
      </c>
      <c r="B1173" s="39">
        <v>997</v>
      </c>
      <c r="C1173" s="82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16"/>
      <c r="AI1173" s="30"/>
      <c r="AJ1173" s="30"/>
      <c r="AK1173" s="16"/>
      <c r="AL1173" s="16"/>
      <c r="AM1173" s="31"/>
      <c r="AN1173" s="31"/>
      <c r="AO1173" s="31"/>
      <c r="AP1173" s="31"/>
      <c r="AQ1173" s="31"/>
      <c r="AR1173" s="31"/>
      <c r="AS1173" s="31"/>
      <c r="AU1173" s="31">
        <f>19.6/100000</f>
        <v>1.9600000000000002E-4</v>
      </c>
      <c r="AV1173" s="31"/>
      <c r="AW1173" s="31"/>
      <c r="AX1173" s="31"/>
      <c r="BA1173" s="31"/>
      <c r="BB1173" s="31"/>
      <c r="BC1173" s="31"/>
      <c r="BD1173" s="31"/>
      <c r="BE1173" s="31">
        <f>15.4/100000</f>
        <v>1.54E-4</v>
      </c>
      <c r="BF1173" s="31"/>
      <c r="BG1173" s="30"/>
      <c r="BH1173" s="30"/>
      <c r="BI1173" s="16"/>
      <c r="BJ1173" s="31">
        <f>15.3/100000</f>
        <v>1.5300000000000001E-4</v>
      </c>
      <c r="BK1173" s="16"/>
      <c r="BL1173" s="30"/>
      <c r="BM1173" s="31"/>
      <c r="BN1173" s="16"/>
      <c r="BO1173" s="16"/>
      <c r="BP1173" s="31"/>
      <c r="BQ1173" s="16"/>
      <c r="BR1173" s="31"/>
      <c r="BS1173" s="31"/>
      <c r="BT1173" s="16"/>
      <c r="BU1173" s="31"/>
      <c r="BV1173" s="31"/>
      <c r="BW1173" s="31"/>
      <c r="BX1173" s="31"/>
      <c r="BY1173" s="16"/>
      <c r="BZ1173" s="16"/>
      <c r="CA1173" s="31"/>
      <c r="CB1173" s="16"/>
      <c r="CC1173" s="16"/>
      <c r="CD1173" s="16"/>
      <c r="CE1173" s="31"/>
      <c r="CF1173" s="30"/>
      <c r="CG1173" s="30"/>
      <c r="CH1173" s="74"/>
    </row>
    <row r="1174" spans="1:86" x14ac:dyDescent="0.2">
      <c r="A1174" s="3" t="s">
        <v>37</v>
      </c>
      <c r="B1174" s="39">
        <v>997</v>
      </c>
      <c r="C1174" s="82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16"/>
      <c r="AI1174" s="30"/>
      <c r="AJ1174" s="30"/>
      <c r="AK1174" s="16"/>
      <c r="AL1174" s="16"/>
      <c r="AM1174" s="31"/>
      <c r="AN1174" s="31"/>
      <c r="AO1174" s="31"/>
      <c r="AP1174" s="31"/>
      <c r="AQ1174" s="31"/>
      <c r="AR1174" s="31"/>
      <c r="AS1174" s="31"/>
      <c r="AU1174" s="31">
        <f>4/100000</f>
        <v>4.0000000000000003E-5</v>
      </c>
      <c r="AV1174" s="31"/>
      <c r="AW1174" s="31"/>
      <c r="AX1174" s="31"/>
      <c r="BA1174" s="31"/>
      <c r="BB1174" s="31"/>
      <c r="BC1174" s="31"/>
      <c r="BD1174" s="31"/>
      <c r="BE1174" s="31">
        <f>5.8/100000</f>
        <v>5.8E-5</v>
      </c>
      <c r="BF1174" s="31"/>
      <c r="BG1174" s="30"/>
      <c r="BH1174" s="30"/>
      <c r="BI1174" s="16"/>
      <c r="BJ1174" s="31">
        <f>7.5/100000</f>
        <v>7.4999999999999993E-5</v>
      </c>
      <c r="BK1174" s="16"/>
      <c r="BL1174" s="30"/>
      <c r="BM1174" s="31"/>
      <c r="BN1174" s="16"/>
      <c r="BO1174" s="16"/>
      <c r="BP1174" s="31"/>
      <c r="BQ1174" s="16"/>
      <c r="BR1174" s="31"/>
      <c r="BS1174" s="31"/>
      <c r="BT1174" s="16"/>
      <c r="BU1174" s="31"/>
      <c r="BV1174" s="31"/>
      <c r="BW1174" s="31"/>
      <c r="BX1174" s="31"/>
      <c r="BY1174" s="16"/>
      <c r="BZ1174" s="16"/>
      <c r="CA1174" s="31"/>
      <c r="CB1174" s="16"/>
      <c r="CC1174" s="16"/>
      <c r="CD1174" s="16"/>
      <c r="CE1174" s="31"/>
      <c r="CF1174" s="30"/>
      <c r="CG1174" s="30"/>
      <c r="CH1174" s="74"/>
    </row>
    <row r="1175" spans="1:86" x14ac:dyDescent="0.2">
      <c r="A1175" s="3" t="s">
        <v>37</v>
      </c>
      <c r="B1175" s="39">
        <v>997</v>
      </c>
      <c r="C1175" s="82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16"/>
      <c r="AI1175" s="30"/>
      <c r="AJ1175" s="30"/>
      <c r="AK1175" s="16"/>
      <c r="AL1175" s="16"/>
      <c r="AM1175" s="31"/>
      <c r="AN1175" s="31"/>
      <c r="AO1175" s="31"/>
      <c r="AP1175" s="31"/>
      <c r="AQ1175" s="31"/>
      <c r="AR1175" s="31"/>
      <c r="AS1175" s="31"/>
      <c r="AU1175" s="31">
        <f>1.5/100000</f>
        <v>1.5E-5</v>
      </c>
      <c r="AV1175" s="31"/>
      <c r="AW1175" s="31"/>
      <c r="AX1175" s="31"/>
      <c r="BA1175" s="31"/>
      <c r="BB1175" s="31"/>
      <c r="BC1175" s="31"/>
      <c r="BD1175" s="31"/>
      <c r="BE1175" s="31">
        <f>1.4/100000</f>
        <v>1.4E-5</v>
      </c>
      <c r="BF1175" s="31"/>
      <c r="BG1175" s="30"/>
      <c r="BH1175" s="30"/>
      <c r="BI1175" s="16"/>
      <c r="BJ1175" s="31">
        <f>2/100000</f>
        <v>2.0000000000000002E-5</v>
      </c>
      <c r="BK1175" s="16"/>
      <c r="BL1175" s="30"/>
      <c r="BM1175" s="31"/>
      <c r="BN1175" s="16"/>
      <c r="BO1175" s="16"/>
      <c r="BP1175" s="31"/>
      <c r="BQ1175" s="16"/>
      <c r="BR1175" s="31"/>
      <c r="BS1175" s="31"/>
      <c r="BT1175" s="16"/>
      <c r="BU1175" s="31"/>
      <c r="BV1175" s="31"/>
      <c r="BW1175" s="31"/>
      <c r="BX1175" s="31"/>
      <c r="BY1175" s="16"/>
      <c r="BZ1175" s="16"/>
      <c r="CA1175" s="31"/>
      <c r="CB1175" s="16"/>
      <c r="CC1175" s="16"/>
      <c r="CD1175" s="16"/>
      <c r="CE1175" s="31"/>
      <c r="CF1175" s="30"/>
      <c r="CG1175" s="30"/>
      <c r="CH1175" s="74"/>
    </row>
    <row r="1176" spans="1:86" x14ac:dyDescent="0.2">
      <c r="A1176" s="3" t="s">
        <v>37</v>
      </c>
      <c r="B1176" s="39">
        <v>997</v>
      </c>
      <c r="C1176" s="82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16"/>
      <c r="AI1176" s="30"/>
      <c r="AJ1176" s="30"/>
      <c r="AK1176" s="16"/>
      <c r="AL1176" s="16"/>
      <c r="AM1176" s="31"/>
      <c r="AN1176" s="31"/>
      <c r="AO1176" s="31"/>
      <c r="AP1176" s="31"/>
      <c r="AQ1176" s="31"/>
      <c r="AR1176" s="31"/>
      <c r="AS1176" s="31"/>
      <c r="AU1176" s="31">
        <f>26.2/100000</f>
        <v>2.6199999999999997E-4</v>
      </c>
      <c r="AV1176" s="31"/>
      <c r="AW1176" s="31"/>
      <c r="AX1176" s="31"/>
      <c r="BA1176" s="31"/>
      <c r="BB1176" s="31"/>
      <c r="BC1176" s="31"/>
      <c r="BD1176" s="31"/>
      <c r="BE1176" s="31">
        <f>24.7/100000</f>
        <v>2.4699999999999999E-4</v>
      </c>
      <c r="BF1176" s="31"/>
      <c r="BG1176" s="30"/>
      <c r="BH1176" s="30"/>
      <c r="BI1176" s="16"/>
      <c r="BJ1176" s="31">
        <f>22.9/100000</f>
        <v>2.2899999999999998E-4</v>
      </c>
      <c r="BK1176" s="16"/>
      <c r="BL1176" s="30"/>
      <c r="BM1176" s="31"/>
      <c r="BN1176" s="16"/>
      <c r="BO1176" s="16"/>
      <c r="BP1176" s="31"/>
      <c r="BQ1176" s="16"/>
      <c r="BR1176" s="31"/>
      <c r="BS1176" s="31"/>
      <c r="BT1176" s="16"/>
      <c r="BU1176" s="31"/>
      <c r="BV1176" s="31"/>
      <c r="BW1176" s="31"/>
      <c r="BX1176" s="31"/>
      <c r="BY1176" s="16"/>
      <c r="BZ1176" s="16"/>
      <c r="CA1176" s="31"/>
      <c r="CB1176" s="16"/>
      <c r="CC1176" s="16"/>
      <c r="CD1176" s="16"/>
      <c r="CE1176" s="31"/>
      <c r="CF1176" s="30"/>
      <c r="CG1176" s="30"/>
      <c r="CH1176" s="74"/>
    </row>
    <row r="1177" spans="1:86" x14ac:dyDescent="0.2">
      <c r="A1177" s="3" t="s">
        <v>37</v>
      </c>
      <c r="B1177" s="39">
        <v>997</v>
      </c>
      <c r="C1177" s="82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16"/>
      <c r="AI1177" s="30"/>
      <c r="AJ1177" s="30"/>
      <c r="AK1177" s="16"/>
      <c r="AL1177" s="16"/>
      <c r="AM1177" s="31"/>
      <c r="AN1177" s="31"/>
      <c r="AO1177" s="31"/>
      <c r="AP1177" s="31"/>
      <c r="AQ1177" s="31"/>
      <c r="AR1177" s="31"/>
      <c r="AS1177" s="31"/>
      <c r="AU1177" s="31">
        <f>4.6/100000</f>
        <v>4.5999999999999993E-5</v>
      </c>
      <c r="AV1177" s="31"/>
      <c r="AW1177" s="31"/>
      <c r="AX1177" s="31"/>
      <c r="BA1177" s="31"/>
      <c r="BB1177" s="31"/>
      <c r="BC1177" s="31"/>
      <c r="BD1177" s="31"/>
      <c r="BE1177" s="31">
        <f>5/100000</f>
        <v>5.0000000000000002E-5</v>
      </c>
      <c r="BF1177" s="31"/>
      <c r="BG1177" s="30"/>
      <c r="BH1177" s="30"/>
      <c r="BI1177" s="16"/>
      <c r="BJ1177" s="31">
        <f>4.8/100000</f>
        <v>4.8000000000000001E-5</v>
      </c>
      <c r="BK1177" s="16"/>
      <c r="BL1177" s="30"/>
      <c r="BM1177" s="31"/>
      <c r="BN1177" s="16"/>
      <c r="BO1177" s="16"/>
      <c r="BP1177" s="31"/>
      <c r="BQ1177" s="16"/>
      <c r="BR1177" s="31"/>
      <c r="BS1177" s="31"/>
      <c r="BT1177" s="16"/>
      <c r="BU1177" s="31"/>
      <c r="BV1177" s="31"/>
      <c r="BW1177" s="31"/>
      <c r="BX1177" s="31"/>
      <c r="BY1177" s="16"/>
      <c r="BZ1177" s="16"/>
      <c r="CA1177" s="31"/>
      <c r="CB1177" s="16"/>
      <c r="CC1177" s="16"/>
      <c r="CD1177" s="16"/>
      <c r="CE1177" s="31"/>
      <c r="CF1177" s="30"/>
      <c r="CG1177" s="30"/>
      <c r="CH1177" s="74"/>
    </row>
    <row r="1178" spans="1:86" x14ac:dyDescent="0.2">
      <c r="A1178" s="3" t="s">
        <v>37</v>
      </c>
      <c r="B1178" s="39">
        <v>997</v>
      </c>
      <c r="C1178" s="82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16"/>
      <c r="AI1178" s="30"/>
      <c r="AJ1178" s="30"/>
      <c r="AK1178" s="16"/>
      <c r="AL1178" s="16"/>
      <c r="AM1178" s="31"/>
      <c r="AN1178" s="31"/>
      <c r="AO1178" s="31"/>
      <c r="AP1178" s="31"/>
      <c r="AQ1178" s="31"/>
      <c r="AR1178" s="31"/>
      <c r="AS1178" s="31"/>
      <c r="AU1178" s="31">
        <f>19.3/100000</f>
        <v>1.93E-4</v>
      </c>
      <c r="AV1178" s="31"/>
      <c r="AW1178" s="31"/>
      <c r="AX1178" s="31"/>
      <c r="BA1178" s="31"/>
      <c r="BB1178" s="31"/>
      <c r="BC1178" s="31"/>
      <c r="BD1178" s="31"/>
      <c r="BE1178" s="31">
        <f>21.9/100000</f>
        <v>2.1899999999999998E-4</v>
      </c>
      <c r="BF1178" s="31"/>
      <c r="BG1178" s="30"/>
      <c r="BH1178" s="30"/>
      <c r="BI1178" s="16"/>
      <c r="BJ1178" s="31">
        <f>19.3/100000</f>
        <v>1.93E-4</v>
      </c>
      <c r="BK1178" s="16"/>
      <c r="BL1178" s="30"/>
      <c r="BM1178" s="31"/>
      <c r="BN1178" s="16"/>
      <c r="BO1178" s="16"/>
      <c r="BP1178" s="31"/>
      <c r="BQ1178" s="16"/>
      <c r="BR1178" s="31"/>
      <c r="BS1178" s="31"/>
      <c r="BT1178" s="16"/>
      <c r="BU1178" s="31"/>
      <c r="BV1178" s="31"/>
      <c r="BW1178" s="31"/>
      <c r="BX1178" s="31"/>
      <c r="BY1178" s="16"/>
      <c r="BZ1178" s="16"/>
      <c r="CA1178" s="31"/>
      <c r="CB1178" s="16"/>
      <c r="CC1178" s="16"/>
      <c r="CD1178" s="16"/>
      <c r="CE1178" s="31"/>
      <c r="CF1178" s="30"/>
      <c r="CG1178" s="30"/>
      <c r="CH1178" s="74"/>
    </row>
    <row r="1179" spans="1:86" x14ac:dyDescent="0.2">
      <c r="A1179" s="3" t="s">
        <v>37</v>
      </c>
      <c r="B1179" s="39">
        <v>997</v>
      </c>
      <c r="C1179" s="82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16"/>
      <c r="AI1179" s="30"/>
      <c r="AJ1179" s="30"/>
      <c r="AK1179" s="16"/>
      <c r="AL1179" s="16"/>
      <c r="AM1179" s="31"/>
      <c r="AN1179" s="31"/>
      <c r="AO1179" s="31"/>
      <c r="AP1179" s="31"/>
      <c r="AQ1179" s="31"/>
      <c r="AR1179" s="31"/>
      <c r="AS1179" s="31"/>
      <c r="AU1179" s="31">
        <f>4.2/100000</f>
        <v>4.2000000000000004E-5</v>
      </c>
      <c r="AV1179" s="31"/>
      <c r="AW1179" s="31"/>
      <c r="AX1179" s="31"/>
      <c r="BA1179" s="31"/>
      <c r="BB1179" s="31"/>
      <c r="BC1179" s="31"/>
      <c r="BD1179" s="31"/>
      <c r="BE1179" s="31">
        <f>3.8/100000</f>
        <v>3.7999999999999995E-5</v>
      </c>
      <c r="BF1179" s="31"/>
      <c r="BG1179" s="30"/>
      <c r="BH1179" s="30"/>
      <c r="BI1179" s="16"/>
      <c r="BJ1179" s="31">
        <f>3.4/100000</f>
        <v>3.4E-5</v>
      </c>
      <c r="BK1179" s="16"/>
      <c r="BL1179" s="30"/>
      <c r="BM1179" s="31"/>
      <c r="BN1179" s="16"/>
      <c r="BO1179" s="16"/>
      <c r="BP1179" s="31"/>
      <c r="BQ1179" s="16"/>
      <c r="BR1179" s="31"/>
      <c r="BS1179" s="31"/>
      <c r="BT1179" s="16"/>
      <c r="BU1179" s="31"/>
      <c r="BV1179" s="31"/>
      <c r="BW1179" s="31"/>
      <c r="BX1179" s="31"/>
      <c r="BY1179" s="16"/>
      <c r="BZ1179" s="16"/>
      <c r="CA1179" s="31"/>
      <c r="CB1179" s="16"/>
      <c r="CC1179" s="16"/>
      <c r="CD1179" s="16"/>
      <c r="CE1179" s="31"/>
      <c r="CF1179" s="30"/>
      <c r="CG1179" s="30"/>
      <c r="CH1179" s="74"/>
    </row>
    <row r="1180" spans="1:86" x14ac:dyDescent="0.2">
      <c r="A1180" s="3" t="s">
        <v>37</v>
      </c>
      <c r="B1180" s="39">
        <v>997</v>
      </c>
      <c r="C1180" s="82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16"/>
      <c r="AI1180" s="30"/>
      <c r="AJ1180" s="30"/>
      <c r="AK1180" s="16"/>
      <c r="AL1180" s="16"/>
      <c r="AM1180" s="31"/>
      <c r="AN1180" s="31"/>
      <c r="AO1180" s="31"/>
      <c r="AP1180" s="31"/>
      <c r="AQ1180" s="31"/>
      <c r="AR1180" s="31"/>
      <c r="AS1180" s="31"/>
      <c r="AU1180" s="31">
        <f>16.4/100000</f>
        <v>1.6399999999999997E-4</v>
      </c>
      <c r="AV1180" s="31"/>
      <c r="AW1180" s="31"/>
      <c r="AX1180" s="31"/>
      <c r="BA1180" s="31"/>
      <c r="BB1180" s="31"/>
      <c r="BC1180" s="31"/>
      <c r="BD1180" s="31"/>
      <c r="BE1180" s="31">
        <f>17.8/100000</f>
        <v>1.7800000000000002E-4</v>
      </c>
      <c r="BF1180" s="31"/>
      <c r="BG1180" s="30"/>
      <c r="BH1180" s="30"/>
      <c r="BI1180" s="16"/>
      <c r="BJ1180" s="31">
        <f>18.6/100000</f>
        <v>1.8600000000000002E-4</v>
      </c>
      <c r="BK1180" s="16"/>
      <c r="BL1180" s="30"/>
      <c r="BM1180" s="31"/>
      <c r="BN1180" s="16"/>
      <c r="BO1180" s="16"/>
      <c r="BP1180" s="31"/>
      <c r="BQ1180" s="16"/>
      <c r="BR1180" s="31"/>
      <c r="BS1180" s="31"/>
      <c r="BT1180" s="16"/>
      <c r="BU1180" s="31"/>
      <c r="BV1180" s="31"/>
      <c r="BW1180" s="31"/>
      <c r="BX1180" s="31"/>
      <c r="BY1180" s="16"/>
      <c r="BZ1180" s="16"/>
      <c r="CA1180" s="31"/>
      <c r="CB1180" s="16"/>
      <c r="CC1180" s="16"/>
      <c r="CD1180" s="16"/>
      <c r="CE1180" s="31"/>
      <c r="CF1180" s="30"/>
      <c r="CG1180" s="30"/>
      <c r="CH1180" s="74"/>
    </row>
    <row r="1181" spans="1:86" x14ac:dyDescent="0.2">
      <c r="A1181" s="3" t="s">
        <v>37</v>
      </c>
      <c r="B1181" s="39">
        <v>997</v>
      </c>
      <c r="C1181" s="82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16"/>
      <c r="AI1181" s="30"/>
      <c r="AJ1181" s="30"/>
      <c r="AK1181" s="16"/>
      <c r="AL1181" s="16"/>
      <c r="AM1181" s="31"/>
      <c r="AN1181" s="31"/>
      <c r="AO1181" s="31"/>
      <c r="AP1181" s="31"/>
      <c r="AQ1181" s="31"/>
      <c r="AR1181" s="31"/>
      <c r="AS1181" s="31"/>
      <c r="AU1181" s="31">
        <f>16.3/100000</f>
        <v>1.63E-4</v>
      </c>
      <c r="AV1181" s="31"/>
      <c r="AW1181" s="31"/>
      <c r="AX1181" s="31"/>
      <c r="BA1181" s="31"/>
      <c r="BB1181" s="31"/>
      <c r="BC1181" s="31"/>
      <c r="BD1181" s="31"/>
      <c r="BE1181" s="31">
        <f>16.2/100000</f>
        <v>1.6199999999999998E-4</v>
      </c>
      <c r="BF1181" s="31"/>
      <c r="BG1181" s="30"/>
      <c r="BH1181" s="30"/>
      <c r="BI1181" s="16"/>
      <c r="BJ1181" s="31">
        <f>11.5/100000</f>
        <v>1.15E-4</v>
      </c>
      <c r="BK1181" s="16"/>
      <c r="BL1181" s="30"/>
      <c r="BM1181" s="31"/>
      <c r="BN1181" s="16"/>
      <c r="BO1181" s="16"/>
      <c r="BP1181" s="31"/>
      <c r="BQ1181" s="16"/>
      <c r="BR1181" s="31"/>
      <c r="BS1181" s="31"/>
      <c r="BT1181" s="16"/>
      <c r="BU1181" s="31"/>
      <c r="BV1181" s="31"/>
      <c r="BW1181" s="31"/>
      <c r="BX1181" s="31"/>
      <c r="BY1181" s="16"/>
      <c r="BZ1181" s="16"/>
      <c r="CA1181" s="31"/>
      <c r="CB1181" s="16"/>
      <c r="CC1181" s="16"/>
      <c r="CD1181" s="16"/>
      <c r="CE1181" s="31"/>
      <c r="CF1181" s="30"/>
      <c r="CG1181" s="30"/>
      <c r="CH1181" s="74"/>
    </row>
    <row r="1182" spans="1:86" x14ac:dyDescent="0.2">
      <c r="A1182" s="3" t="s">
        <v>37</v>
      </c>
      <c r="B1182" s="39">
        <v>997</v>
      </c>
      <c r="C1182" s="82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16"/>
      <c r="AI1182" s="30"/>
      <c r="AJ1182" s="30"/>
      <c r="AK1182" s="16"/>
      <c r="AL1182" s="16"/>
      <c r="AM1182" s="31"/>
      <c r="AN1182" s="31"/>
      <c r="AO1182" s="31"/>
      <c r="AP1182" s="31"/>
      <c r="AQ1182" s="31"/>
      <c r="AR1182" s="31"/>
      <c r="AS1182" s="31"/>
      <c r="AU1182" s="31">
        <f>6/100000</f>
        <v>6.0000000000000002E-5</v>
      </c>
      <c r="AV1182" s="31"/>
      <c r="AW1182" s="31"/>
      <c r="AX1182" s="31"/>
      <c r="BA1182" s="31"/>
      <c r="BB1182" s="31"/>
      <c r="BC1182" s="31"/>
      <c r="BD1182" s="31"/>
      <c r="BE1182" s="31">
        <f>8.2/100000</f>
        <v>8.1999999999999987E-5</v>
      </c>
      <c r="BF1182" s="31"/>
      <c r="BG1182" s="30"/>
      <c r="BH1182" s="30"/>
      <c r="BI1182" s="16"/>
      <c r="BJ1182" s="31">
        <f>10.5/100000</f>
        <v>1.05E-4</v>
      </c>
      <c r="BK1182" s="16"/>
      <c r="BL1182" s="30"/>
      <c r="BM1182" s="31"/>
      <c r="BN1182" s="16"/>
      <c r="BO1182" s="16"/>
      <c r="BP1182" s="31"/>
      <c r="BQ1182" s="16"/>
      <c r="BR1182" s="31"/>
      <c r="BS1182" s="31"/>
      <c r="BT1182" s="16"/>
      <c r="BU1182" s="31"/>
      <c r="BV1182" s="31"/>
      <c r="BW1182" s="31"/>
      <c r="BX1182" s="31"/>
      <c r="BY1182" s="16"/>
      <c r="BZ1182" s="16"/>
      <c r="CA1182" s="31"/>
      <c r="CB1182" s="16"/>
      <c r="CC1182" s="16"/>
      <c r="CD1182" s="16"/>
      <c r="CE1182" s="31"/>
      <c r="CF1182" s="30"/>
      <c r="CG1182" s="30"/>
      <c r="CH1182" s="74"/>
    </row>
    <row r="1183" spans="1:86" x14ac:dyDescent="0.2">
      <c r="A1183" s="3" t="s">
        <v>37</v>
      </c>
      <c r="B1183" s="39">
        <v>997</v>
      </c>
      <c r="C1183" s="82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16"/>
      <c r="AI1183" s="30"/>
      <c r="AJ1183" s="30"/>
      <c r="AK1183" s="16"/>
      <c r="AL1183" s="16"/>
      <c r="AM1183" s="31"/>
      <c r="AN1183" s="31"/>
      <c r="AO1183" s="31"/>
      <c r="AP1183" s="31"/>
      <c r="AQ1183" s="31"/>
      <c r="AR1183" s="31"/>
      <c r="AS1183" s="31"/>
      <c r="AU1183" s="31">
        <f>5/100000</f>
        <v>5.0000000000000002E-5</v>
      </c>
      <c r="AV1183" s="31"/>
      <c r="AW1183" s="31"/>
      <c r="AX1183" s="31"/>
      <c r="BA1183" s="31"/>
      <c r="BB1183" s="31"/>
      <c r="BC1183" s="31"/>
      <c r="BD1183" s="31"/>
      <c r="BE1183" s="31">
        <f>6.3/100000</f>
        <v>6.3E-5</v>
      </c>
      <c r="BF1183" s="31"/>
      <c r="BG1183" s="30"/>
      <c r="BH1183" s="30"/>
      <c r="BI1183" s="16"/>
      <c r="BJ1183" s="31">
        <f>6.3/100000</f>
        <v>6.3E-5</v>
      </c>
      <c r="BK1183" s="16"/>
      <c r="BL1183" s="30"/>
      <c r="BM1183" s="31"/>
      <c r="BN1183" s="16"/>
      <c r="BO1183" s="16"/>
      <c r="BP1183" s="31"/>
      <c r="BQ1183" s="16"/>
      <c r="BR1183" s="31"/>
      <c r="BS1183" s="31"/>
      <c r="BT1183" s="16"/>
      <c r="BU1183" s="31"/>
      <c r="BV1183" s="31"/>
      <c r="BW1183" s="31"/>
      <c r="BX1183" s="31"/>
      <c r="BY1183" s="16"/>
      <c r="BZ1183" s="16"/>
      <c r="CA1183" s="31"/>
      <c r="CB1183" s="16"/>
      <c r="CC1183" s="16"/>
      <c r="CD1183" s="16"/>
      <c r="CE1183" s="31"/>
      <c r="CF1183" s="30"/>
      <c r="CG1183" s="30"/>
      <c r="CH1183" s="74"/>
    </row>
    <row r="1184" spans="1:86" x14ac:dyDescent="0.2">
      <c r="A1184" s="3" t="s">
        <v>37</v>
      </c>
      <c r="B1184" s="39">
        <v>997</v>
      </c>
      <c r="C1184" s="82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16"/>
      <c r="AI1184" s="30"/>
      <c r="AJ1184" s="30"/>
      <c r="AK1184" s="16"/>
      <c r="AL1184" s="16"/>
      <c r="AM1184" s="31"/>
      <c r="AN1184" s="31"/>
      <c r="AO1184" s="31"/>
      <c r="AP1184" s="31"/>
      <c r="AQ1184" s="31"/>
      <c r="AR1184" s="31"/>
      <c r="AS1184" s="31"/>
      <c r="AU1184" s="31">
        <f>5.8/100000</f>
        <v>5.8E-5</v>
      </c>
      <c r="AV1184" s="31"/>
      <c r="AW1184" s="31"/>
      <c r="AX1184" s="31"/>
      <c r="BA1184" s="31"/>
      <c r="BB1184" s="31"/>
      <c r="BC1184" s="31"/>
      <c r="BD1184" s="31"/>
      <c r="BE1184" s="31">
        <f>10.6/100000</f>
        <v>1.06E-4</v>
      </c>
      <c r="BF1184" s="31"/>
      <c r="BG1184" s="30"/>
      <c r="BH1184" s="30"/>
      <c r="BI1184" s="16"/>
      <c r="BJ1184" s="31">
        <f>10/100000</f>
        <v>1E-4</v>
      </c>
      <c r="BK1184" s="16"/>
      <c r="BL1184" s="30"/>
      <c r="BM1184" s="31"/>
      <c r="BN1184" s="16"/>
      <c r="BO1184" s="16"/>
      <c r="BP1184" s="31"/>
      <c r="BQ1184" s="16"/>
      <c r="BR1184" s="31"/>
      <c r="BS1184" s="31"/>
      <c r="BT1184" s="16"/>
      <c r="BU1184" s="31"/>
      <c r="BV1184" s="31"/>
      <c r="BW1184" s="31"/>
      <c r="BX1184" s="31"/>
      <c r="BY1184" s="16"/>
      <c r="BZ1184" s="16"/>
      <c r="CA1184" s="31"/>
      <c r="CB1184" s="16"/>
      <c r="CC1184" s="16"/>
      <c r="CD1184" s="16"/>
      <c r="CE1184" s="31"/>
      <c r="CF1184" s="30"/>
      <c r="CG1184" s="30"/>
      <c r="CH1184" s="74"/>
    </row>
    <row r="1185" spans="1:86" x14ac:dyDescent="0.2">
      <c r="A1185" s="3" t="s">
        <v>37</v>
      </c>
      <c r="B1185" s="39">
        <v>997</v>
      </c>
      <c r="C1185" s="82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16"/>
      <c r="AI1185" s="30"/>
      <c r="AJ1185" s="30"/>
      <c r="AK1185" s="16"/>
      <c r="AL1185" s="16"/>
      <c r="AM1185" s="31"/>
      <c r="AN1185" s="31"/>
      <c r="AO1185" s="31"/>
      <c r="AP1185" s="31"/>
      <c r="AQ1185" s="31"/>
      <c r="AR1185" s="31"/>
      <c r="AS1185" s="31"/>
      <c r="AU1185" s="31">
        <f>2.4/100000</f>
        <v>2.4000000000000001E-5</v>
      </c>
      <c r="AV1185" s="31"/>
      <c r="AW1185" s="31"/>
      <c r="AX1185" s="31"/>
      <c r="BA1185" s="31"/>
      <c r="BB1185" s="31"/>
      <c r="BC1185" s="31"/>
      <c r="BD1185" s="31"/>
      <c r="BE1185" s="31">
        <f>2.2/100000</f>
        <v>2.2000000000000003E-5</v>
      </c>
      <c r="BF1185" s="31"/>
      <c r="BG1185" s="30"/>
      <c r="BH1185" s="30"/>
      <c r="BI1185" s="16"/>
      <c r="BJ1185" s="31">
        <f>2.5/100000</f>
        <v>2.5000000000000001E-5</v>
      </c>
      <c r="BK1185" s="16"/>
      <c r="BL1185" s="30"/>
      <c r="BM1185" s="31"/>
      <c r="BN1185" s="16"/>
      <c r="BO1185" s="16"/>
      <c r="BP1185" s="31"/>
      <c r="BQ1185" s="16"/>
      <c r="BR1185" s="31"/>
      <c r="BS1185" s="31"/>
      <c r="BT1185" s="16"/>
      <c r="BU1185" s="31"/>
      <c r="BV1185" s="31"/>
      <c r="BW1185" s="31"/>
      <c r="BX1185" s="31"/>
      <c r="BY1185" s="16"/>
      <c r="BZ1185" s="16"/>
      <c r="CA1185" s="31"/>
      <c r="CB1185" s="16"/>
      <c r="CC1185" s="16"/>
      <c r="CD1185" s="16"/>
      <c r="CE1185" s="31"/>
      <c r="CF1185" s="30"/>
      <c r="CG1185" s="30"/>
      <c r="CH1185" s="74"/>
    </row>
    <row r="1186" spans="1:86" x14ac:dyDescent="0.2">
      <c r="A1186" s="3" t="s">
        <v>37</v>
      </c>
      <c r="B1186" s="39">
        <v>997</v>
      </c>
      <c r="C1186" s="82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16"/>
      <c r="AI1186" s="30"/>
      <c r="AJ1186" s="30"/>
      <c r="AK1186" s="16"/>
      <c r="AL1186" s="16"/>
      <c r="AM1186" s="31"/>
      <c r="AN1186" s="31"/>
      <c r="AO1186" s="31"/>
      <c r="AP1186" s="31"/>
      <c r="AQ1186" s="31"/>
      <c r="AR1186" s="31"/>
      <c r="AS1186" s="31"/>
      <c r="AU1186" s="31">
        <f>15.1/100000</f>
        <v>1.5099999999999998E-4</v>
      </c>
      <c r="AV1186" s="31"/>
      <c r="AW1186" s="31"/>
      <c r="AX1186" s="31"/>
      <c r="BA1186" s="31"/>
      <c r="BB1186" s="31"/>
      <c r="BC1186" s="31"/>
      <c r="BD1186" s="31"/>
      <c r="BE1186" s="31">
        <f>9.9/100000</f>
        <v>9.9000000000000008E-5</v>
      </c>
      <c r="BF1186" s="31"/>
      <c r="BG1186" s="30"/>
      <c r="BH1186" s="30"/>
      <c r="BI1186" s="16"/>
      <c r="BJ1186" s="31">
        <f>12.7/100000</f>
        <v>1.27E-4</v>
      </c>
      <c r="BK1186" s="16"/>
      <c r="BL1186" s="30"/>
      <c r="BM1186" s="31"/>
      <c r="BN1186" s="16"/>
      <c r="BO1186" s="16"/>
      <c r="BP1186" s="31"/>
      <c r="BQ1186" s="16"/>
      <c r="BR1186" s="31"/>
      <c r="BS1186" s="31"/>
      <c r="BT1186" s="16"/>
      <c r="BU1186" s="31"/>
      <c r="BV1186" s="31"/>
      <c r="BW1186" s="31"/>
      <c r="BX1186" s="31"/>
      <c r="BY1186" s="16"/>
      <c r="BZ1186" s="16"/>
      <c r="CA1186" s="31"/>
      <c r="CB1186" s="16"/>
      <c r="CC1186" s="16"/>
      <c r="CD1186" s="16"/>
      <c r="CE1186" s="31"/>
      <c r="CF1186" s="30"/>
      <c r="CG1186" s="30"/>
      <c r="CH1186" s="74"/>
    </row>
    <row r="1187" spans="1:86" x14ac:dyDescent="0.2">
      <c r="A1187" s="3" t="s">
        <v>37</v>
      </c>
      <c r="B1187" s="39">
        <v>997</v>
      </c>
      <c r="C1187" s="82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16"/>
      <c r="AI1187" s="30"/>
      <c r="AJ1187" s="30"/>
      <c r="AK1187" s="16"/>
      <c r="AL1187" s="16"/>
      <c r="AM1187" s="31"/>
      <c r="AN1187" s="31"/>
      <c r="AO1187" s="31"/>
      <c r="AP1187" s="31"/>
      <c r="AQ1187" s="31"/>
      <c r="AR1187" s="31"/>
      <c r="AS1187" s="31"/>
      <c r="AU1187" s="31">
        <f>6.8/100000</f>
        <v>6.7999999999999999E-5</v>
      </c>
      <c r="AV1187" s="31"/>
      <c r="AW1187" s="31"/>
      <c r="AX1187" s="31"/>
      <c r="BA1187" s="31"/>
      <c r="BB1187" s="31"/>
      <c r="BC1187" s="31"/>
      <c r="BD1187" s="31"/>
      <c r="BE1187" s="31">
        <f>4.6/100000</f>
        <v>4.5999999999999993E-5</v>
      </c>
      <c r="BF1187" s="31"/>
      <c r="BG1187" s="30"/>
      <c r="BH1187" s="30"/>
      <c r="BI1187" s="16"/>
      <c r="BJ1187" s="31">
        <f>5.9/100000</f>
        <v>5.9000000000000004E-5</v>
      </c>
      <c r="BK1187" s="16"/>
      <c r="BL1187" s="30"/>
      <c r="BM1187" s="31"/>
      <c r="BN1187" s="16"/>
      <c r="BO1187" s="16"/>
      <c r="BP1187" s="31"/>
      <c r="BQ1187" s="16"/>
      <c r="BR1187" s="31"/>
      <c r="BS1187" s="31"/>
      <c r="BT1187" s="16"/>
      <c r="BU1187" s="31"/>
      <c r="BV1187" s="31"/>
      <c r="BW1187" s="31"/>
      <c r="BX1187" s="31"/>
      <c r="BY1187" s="16"/>
      <c r="BZ1187" s="16"/>
      <c r="CA1187" s="31"/>
      <c r="CB1187" s="16"/>
      <c r="CC1187" s="16"/>
      <c r="CD1187" s="16"/>
      <c r="CE1187" s="31"/>
      <c r="CF1187" s="30"/>
      <c r="CG1187" s="30"/>
      <c r="CH1187" s="74"/>
    </row>
    <row r="1188" spans="1:86" x14ac:dyDescent="0.2">
      <c r="A1188" s="3" t="s">
        <v>37</v>
      </c>
      <c r="B1188" s="39">
        <v>997</v>
      </c>
      <c r="C1188" s="82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16"/>
      <c r="AI1188" s="30"/>
      <c r="AJ1188" s="30"/>
      <c r="AK1188" s="16"/>
      <c r="AL1188" s="16"/>
      <c r="AM1188" s="31"/>
      <c r="AN1188" s="31"/>
      <c r="AO1188" s="31"/>
      <c r="AP1188" s="31"/>
      <c r="AQ1188" s="31"/>
      <c r="AR1188" s="31"/>
      <c r="AS1188" s="31"/>
      <c r="AU1188" s="31">
        <f>7.1/100000</f>
        <v>7.0999999999999991E-5</v>
      </c>
      <c r="AV1188" s="31"/>
      <c r="AW1188" s="31"/>
      <c r="AX1188" s="31"/>
      <c r="BA1188" s="31"/>
      <c r="BB1188" s="31"/>
      <c r="BC1188" s="31"/>
      <c r="BD1188" s="31"/>
      <c r="BE1188" s="31">
        <f>10.1/100000</f>
        <v>1.01E-4</v>
      </c>
      <c r="BF1188" s="31"/>
      <c r="BG1188" s="30"/>
      <c r="BH1188" s="30"/>
      <c r="BI1188" s="16"/>
      <c r="BJ1188" s="31">
        <f>9/100000</f>
        <v>9.0000000000000006E-5</v>
      </c>
      <c r="BK1188" s="16"/>
      <c r="BL1188" s="30"/>
      <c r="BM1188" s="31"/>
      <c r="BN1188" s="16"/>
      <c r="BO1188" s="16"/>
      <c r="BP1188" s="31"/>
      <c r="BQ1188" s="16"/>
      <c r="BR1188" s="31"/>
      <c r="BS1188" s="31"/>
      <c r="BT1188" s="16"/>
      <c r="BU1188" s="31"/>
      <c r="BV1188" s="31"/>
      <c r="BW1188" s="31"/>
      <c r="BX1188" s="31"/>
      <c r="BY1188" s="16"/>
      <c r="BZ1188" s="16"/>
      <c r="CA1188" s="31"/>
      <c r="CB1188" s="16"/>
      <c r="CC1188" s="16"/>
      <c r="CD1188" s="16"/>
      <c r="CE1188" s="31"/>
      <c r="CF1188" s="30"/>
      <c r="CG1188" s="30"/>
      <c r="CH1188" s="74"/>
    </row>
    <row r="1189" spans="1:86" x14ac:dyDescent="0.2">
      <c r="A1189" s="3" t="s">
        <v>37</v>
      </c>
      <c r="B1189" s="39">
        <v>997</v>
      </c>
      <c r="C1189" s="82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16"/>
      <c r="AI1189" s="30"/>
      <c r="AJ1189" s="30"/>
      <c r="AK1189" s="16"/>
      <c r="AL1189" s="16"/>
      <c r="AM1189" s="31"/>
      <c r="AN1189" s="31"/>
      <c r="AO1189" s="31"/>
      <c r="AP1189" s="31"/>
      <c r="AQ1189" s="31"/>
      <c r="AR1189" s="31"/>
      <c r="AS1189" s="31"/>
      <c r="AU1189" s="31">
        <f>8.7/100000</f>
        <v>8.6999999999999987E-5</v>
      </c>
      <c r="AV1189" s="31"/>
      <c r="AW1189" s="31"/>
      <c r="AX1189" s="31"/>
      <c r="BA1189" s="31"/>
      <c r="BB1189" s="31"/>
      <c r="BC1189" s="31"/>
      <c r="BD1189" s="31"/>
      <c r="BE1189" s="31">
        <f>6.6/100000</f>
        <v>6.5999999999999992E-5</v>
      </c>
      <c r="BF1189" s="31"/>
      <c r="BG1189" s="30"/>
      <c r="BH1189" s="30"/>
      <c r="BI1189" s="16"/>
      <c r="BJ1189" s="31">
        <f>5.8/100000</f>
        <v>5.8E-5</v>
      </c>
      <c r="BK1189" s="16"/>
      <c r="BL1189" s="30"/>
      <c r="BM1189" s="31"/>
      <c r="BN1189" s="16"/>
      <c r="BO1189" s="16"/>
      <c r="BP1189" s="31"/>
      <c r="BQ1189" s="16"/>
      <c r="BR1189" s="31"/>
      <c r="BS1189" s="31"/>
      <c r="BT1189" s="16"/>
      <c r="BU1189" s="31"/>
      <c r="BV1189" s="31"/>
      <c r="BW1189" s="31"/>
      <c r="BX1189" s="31"/>
      <c r="BY1189" s="16"/>
      <c r="BZ1189" s="16"/>
      <c r="CA1189" s="31"/>
      <c r="CB1189" s="16"/>
      <c r="CC1189" s="16"/>
      <c r="CD1189" s="16"/>
      <c r="CE1189" s="31"/>
      <c r="CF1189" s="30"/>
      <c r="CG1189" s="30"/>
      <c r="CH1189" s="74"/>
    </row>
    <row r="1190" spans="1:86" x14ac:dyDescent="0.2">
      <c r="A1190" s="3" t="s">
        <v>37</v>
      </c>
      <c r="B1190" s="39">
        <v>997</v>
      </c>
      <c r="C1190" s="82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16"/>
      <c r="AI1190" s="30"/>
      <c r="AJ1190" s="30"/>
      <c r="AK1190" s="16"/>
      <c r="AL1190" s="16"/>
      <c r="AM1190" s="31"/>
      <c r="AN1190" s="31"/>
      <c r="AO1190" s="31"/>
      <c r="AP1190" s="31"/>
      <c r="AQ1190" s="31"/>
      <c r="AR1190" s="31"/>
      <c r="AS1190" s="31"/>
      <c r="AU1190" s="31">
        <f>11.5/100000</f>
        <v>1.15E-4</v>
      </c>
      <c r="AV1190" s="31"/>
      <c r="AW1190" s="31"/>
      <c r="AX1190" s="31"/>
      <c r="BA1190" s="31"/>
      <c r="BB1190" s="31"/>
      <c r="BC1190" s="31"/>
      <c r="BD1190" s="31"/>
      <c r="BE1190" s="31">
        <f>5.3/100000</f>
        <v>5.3000000000000001E-5</v>
      </c>
      <c r="BF1190" s="31"/>
      <c r="BG1190" s="30"/>
      <c r="BH1190" s="30"/>
      <c r="BI1190" s="16"/>
      <c r="BJ1190" s="31"/>
      <c r="BK1190" s="16"/>
      <c r="BL1190" s="30"/>
      <c r="BM1190" s="31"/>
      <c r="BN1190" s="16"/>
      <c r="BO1190" s="16"/>
      <c r="BP1190" s="31"/>
      <c r="BQ1190" s="16"/>
      <c r="BR1190" s="31"/>
      <c r="BS1190" s="31"/>
      <c r="BT1190" s="16"/>
      <c r="BU1190" s="31"/>
      <c r="BV1190" s="31"/>
      <c r="BW1190" s="31"/>
      <c r="BX1190" s="31"/>
      <c r="BY1190" s="16"/>
      <c r="BZ1190" s="16"/>
      <c r="CA1190" s="31"/>
      <c r="CB1190" s="16"/>
      <c r="CC1190" s="16"/>
      <c r="CD1190" s="16"/>
      <c r="CE1190" s="31"/>
      <c r="CF1190" s="30"/>
      <c r="CG1190" s="30"/>
      <c r="CH1190" s="74"/>
    </row>
    <row r="1191" spans="1:86" x14ac:dyDescent="0.2">
      <c r="A1191" s="3" t="s">
        <v>37</v>
      </c>
      <c r="B1191" s="39">
        <v>997</v>
      </c>
      <c r="C1191" s="82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16"/>
      <c r="AI1191" s="30"/>
      <c r="AJ1191" s="30"/>
      <c r="AK1191" s="16"/>
      <c r="AL1191" s="16"/>
      <c r="AM1191" s="31"/>
      <c r="AN1191" s="31"/>
      <c r="AO1191" s="31"/>
      <c r="AP1191" s="31"/>
      <c r="AQ1191" s="31"/>
      <c r="AR1191" s="31"/>
      <c r="AS1191" s="31"/>
      <c r="AU1191" s="31">
        <f>9.5/100000</f>
        <v>9.5000000000000005E-5</v>
      </c>
      <c r="AV1191" s="31"/>
      <c r="AW1191" s="31"/>
      <c r="AX1191" s="31"/>
      <c r="BA1191" s="31"/>
      <c r="BB1191" s="31"/>
      <c r="BC1191" s="31"/>
      <c r="BD1191" s="31"/>
      <c r="BE1191" s="31">
        <f>4.3/100000</f>
        <v>4.2999999999999995E-5</v>
      </c>
      <c r="BF1191" s="31"/>
      <c r="BG1191" s="30"/>
      <c r="BH1191" s="30"/>
      <c r="BI1191" s="16"/>
      <c r="BJ1191" s="31"/>
      <c r="BK1191" s="16"/>
      <c r="BL1191" s="30"/>
      <c r="BM1191" s="31"/>
      <c r="BN1191" s="16"/>
      <c r="BO1191" s="16"/>
      <c r="BP1191" s="31"/>
      <c r="BQ1191" s="16"/>
      <c r="BR1191" s="31"/>
      <c r="BS1191" s="31"/>
      <c r="BT1191" s="16"/>
      <c r="BU1191" s="31"/>
      <c r="BV1191" s="31"/>
      <c r="BW1191" s="31"/>
      <c r="BX1191" s="31"/>
      <c r="BY1191" s="16"/>
      <c r="BZ1191" s="16"/>
      <c r="CA1191" s="31"/>
      <c r="CB1191" s="16"/>
      <c r="CC1191" s="16"/>
      <c r="CD1191" s="16"/>
      <c r="CE1191" s="31"/>
      <c r="CF1191" s="30"/>
      <c r="CG1191" s="30"/>
      <c r="CH1191" s="74"/>
    </row>
    <row r="1192" spans="1:86" x14ac:dyDescent="0.2">
      <c r="A1192" s="3" t="s">
        <v>37</v>
      </c>
      <c r="B1192" s="39">
        <v>997</v>
      </c>
      <c r="C1192" s="82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16"/>
      <c r="AI1192" s="30"/>
      <c r="AJ1192" s="30"/>
      <c r="AK1192" s="16"/>
      <c r="AL1192" s="16"/>
      <c r="AM1192" s="31"/>
      <c r="AN1192" s="31"/>
      <c r="AO1192" s="31"/>
      <c r="AP1192" s="31"/>
      <c r="AQ1192" s="31"/>
      <c r="AR1192" s="31"/>
      <c r="AS1192" s="31"/>
      <c r="AU1192" s="31">
        <f>17.9/100000</f>
        <v>1.7899999999999999E-4</v>
      </c>
      <c r="AV1192" s="31"/>
      <c r="AW1192" s="31"/>
      <c r="AX1192" s="31"/>
      <c r="BA1192" s="31"/>
      <c r="BB1192" s="31"/>
      <c r="BC1192" s="31"/>
      <c r="BD1192" s="31"/>
      <c r="BE1192" s="31">
        <f>25.3/100000</f>
        <v>2.5300000000000002E-4</v>
      </c>
      <c r="BF1192" s="31"/>
      <c r="BG1192" s="30"/>
      <c r="BH1192" s="30"/>
      <c r="BI1192" s="16"/>
      <c r="BJ1192" s="31">
        <f>24.7/100000</f>
        <v>2.4699999999999999E-4</v>
      </c>
      <c r="BK1192" s="16"/>
      <c r="BL1192" s="30"/>
      <c r="BM1192" s="31"/>
      <c r="BN1192" s="16"/>
      <c r="BO1192" s="16"/>
      <c r="BP1192" s="31"/>
      <c r="BQ1192" s="16"/>
      <c r="BR1192" s="31"/>
      <c r="BS1192" s="31"/>
      <c r="BT1192" s="16"/>
      <c r="BU1192" s="31"/>
      <c r="BV1192" s="31"/>
      <c r="BW1192" s="31"/>
      <c r="BX1192" s="31"/>
      <c r="BY1192" s="16"/>
      <c r="BZ1192" s="16"/>
      <c r="CA1192" s="31"/>
      <c r="CB1192" s="16"/>
      <c r="CC1192" s="16"/>
      <c r="CD1192" s="16"/>
      <c r="CE1192" s="31"/>
      <c r="CF1192" s="30"/>
      <c r="CG1192" s="30"/>
      <c r="CH1192" s="74"/>
    </row>
    <row r="1193" spans="1:86" x14ac:dyDescent="0.2">
      <c r="A1193" s="3" t="s">
        <v>37</v>
      </c>
      <c r="B1193" s="39">
        <v>997</v>
      </c>
      <c r="C1193" s="82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16"/>
      <c r="AI1193" s="30"/>
      <c r="AJ1193" s="30"/>
      <c r="AK1193" s="16"/>
      <c r="AL1193" s="16"/>
      <c r="AM1193" s="31"/>
      <c r="AN1193" s="31"/>
      <c r="AO1193" s="31"/>
      <c r="AP1193" s="31"/>
      <c r="AQ1193" s="31"/>
      <c r="AR1193" s="31"/>
      <c r="AS1193" s="31"/>
      <c r="AU1193" s="31">
        <f>3.9/100000</f>
        <v>3.8999999999999999E-5</v>
      </c>
      <c r="AV1193" s="31"/>
      <c r="AW1193" s="31"/>
      <c r="AX1193" s="31"/>
      <c r="BA1193" s="31"/>
      <c r="BB1193" s="31"/>
      <c r="BC1193" s="31"/>
      <c r="BD1193" s="31"/>
      <c r="BE1193" s="31">
        <f>4.8/100000</f>
        <v>4.8000000000000001E-5</v>
      </c>
      <c r="BF1193" s="31"/>
      <c r="BG1193" s="30"/>
      <c r="BH1193" s="30"/>
      <c r="BI1193" s="16"/>
      <c r="BJ1193" s="31">
        <f>5.7/100000</f>
        <v>5.7000000000000003E-5</v>
      </c>
      <c r="BK1193" s="16"/>
      <c r="BL1193" s="30"/>
      <c r="BM1193" s="31"/>
      <c r="BN1193" s="16"/>
      <c r="BO1193" s="16"/>
      <c r="BP1193" s="31"/>
      <c r="BQ1193" s="16"/>
      <c r="BR1193" s="31"/>
      <c r="BS1193" s="31"/>
      <c r="BT1193" s="16"/>
      <c r="BU1193" s="31"/>
      <c r="BV1193" s="31"/>
      <c r="BW1193" s="31"/>
      <c r="BX1193" s="31"/>
      <c r="BY1193" s="16"/>
      <c r="BZ1193" s="16"/>
      <c r="CA1193" s="31"/>
      <c r="CB1193" s="16"/>
      <c r="CC1193" s="16"/>
      <c r="CD1193" s="16"/>
      <c r="CE1193" s="31"/>
      <c r="CF1193" s="30"/>
      <c r="CG1193" s="30"/>
      <c r="CH1193" s="74"/>
    </row>
    <row r="1194" spans="1:86" x14ac:dyDescent="0.2">
      <c r="A1194" s="3" t="s">
        <v>37</v>
      </c>
      <c r="B1194" s="39">
        <v>997</v>
      </c>
      <c r="C1194" s="82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16"/>
      <c r="AI1194" s="30"/>
      <c r="AJ1194" s="30"/>
      <c r="AK1194" s="16"/>
      <c r="AL1194" s="16"/>
      <c r="AM1194" s="31"/>
      <c r="AN1194" s="31"/>
      <c r="AO1194" s="31"/>
      <c r="AP1194" s="31"/>
      <c r="AQ1194" s="31"/>
      <c r="AR1194" s="31"/>
      <c r="AS1194" s="31"/>
      <c r="AU1194" s="31">
        <f>18.2/100000</f>
        <v>1.8200000000000001E-4</v>
      </c>
      <c r="AV1194" s="31"/>
      <c r="AW1194" s="31"/>
      <c r="AX1194" s="31"/>
      <c r="BA1194" s="31"/>
      <c r="BB1194" s="31"/>
      <c r="BC1194" s="31"/>
      <c r="BD1194" s="31"/>
      <c r="BE1194" s="31">
        <f>38.5/100000</f>
        <v>3.8499999999999998E-4</v>
      </c>
      <c r="BF1194" s="31"/>
      <c r="BG1194" s="30"/>
      <c r="BH1194" s="30"/>
      <c r="BI1194" s="16"/>
      <c r="BJ1194" s="31">
        <f>38.8/100000</f>
        <v>3.88E-4</v>
      </c>
      <c r="BK1194" s="16"/>
      <c r="BL1194" s="30"/>
      <c r="BM1194" s="31"/>
      <c r="BN1194" s="16"/>
      <c r="BO1194" s="16"/>
      <c r="BP1194" s="31"/>
      <c r="BQ1194" s="16"/>
      <c r="BR1194" s="31"/>
      <c r="BS1194" s="31"/>
      <c r="BT1194" s="16"/>
      <c r="BU1194" s="31"/>
      <c r="BV1194" s="31"/>
      <c r="BW1194" s="31"/>
      <c r="BX1194" s="31"/>
      <c r="BY1194" s="16"/>
      <c r="BZ1194" s="16"/>
      <c r="CA1194" s="31"/>
      <c r="CB1194" s="16"/>
      <c r="CC1194" s="16"/>
      <c r="CD1194" s="16"/>
      <c r="CE1194" s="31"/>
      <c r="CF1194" s="30"/>
      <c r="CG1194" s="30"/>
      <c r="CH1194" s="74"/>
    </row>
    <row r="1195" spans="1:86" x14ac:dyDescent="0.2">
      <c r="A1195" s="3" t="s">
        <v>37</v>
      </c>
      <c r="B1195" s="39">
        <v>997</v>
      </c>
      <c r="C1195" s="82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16"/>
      <c r="AI1195" s="30"/>
      <c r="AJ1195" s="30"/>
      <c r="AK1195" s="16"/>
      <c r="AL1195" s="16"/>
      <c r="AM1195" s="31"/>
      <c r="AN1195" s="31"/>
      <c r="AO1195" s="31"/>
      <c r="AP1195" s="31"/>
      <c r="AQ1195" s="31"/>
      <c r="AR1195" s="31"/>
      <c r="AS1195" s="31"/>
      <c r="AU1195" s="31">
        <f>4.9/100000</f>
        <v>4.9000000000000005E-5</v>
      </c>
      <c r="AV1195" s="31"/>
      <c r="AW1195" s="31"/>
      <c r="AX1195" s="31"/>
      <c r="BA1195" s="31"/>
      <c r="BB1195" s="31"/>
      <c r="BC1195" s="31"/>
      <c r="BD1195" s="31"/>
      <c r="BE1195" s="31">
        <f>6.7/100000</f>
        <v>6.7000000000000002E-5</v>
      </c>
      <c r="BF1195" s="31"/>
      <c r="BG1195" s="30"/>
      <c r="BH1195" s="30"/>
      <c r="BI1195" s="16"/>
      <c r="BJ1195" s="31">
        <f>12.8/100000</f>
        <v>1.2799999999999999E-4</v>
      </c>
      <c r="BK1195" s="16"/>
      <c r="BL1195" s="30"/>
      <c r="BM1195" s="31"/>
      <c r="BN1195" s="16"/>
      <c r="BO1195" s="16"/>
      <c r="BP1195" s="31"/>
      <c r="BQ1195" s="16"/>
      <c r="BR1195" s="31"/>
      <c r="BS1195" s="31"/>
      <c r="BT1195" s="16"/>
      <c r="BU1195" s="31"/>
      <c r="BV1195" s="31"/>
      <c r="BW1195" s="31"/>
      <c r="BX1195" s="31"/>
      <c r="BY1195" s="16"/>
      <c r="BZ1195" s="16"/>
      <c r="CA1195" s="31"/>
      <c r="CB1195" s="16"/>
      <c r="CC1195" s="16"/>
      <c r="CD1195" s="16"/>
      <c r="CE1195" s="31"/>
      <c r="CF1195" s="30"/>
      <c r="CG1195" s="30"/>
      <c r="CH1195" s="74"/>
    </row>
    <row r="1196" spans="1:86" x14ac:dyDescent="0.2">
      <c r="A1196" s="3" t="s">
        <v>37</v>
      </c>
      <c r="B1196" s="39">
        <v>998</v>
      </c>
      <c r="C1196" s="82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1">
        <f>10/100000</f>
        <v>1E-4</v>
      </c>
      <c r="Q1196" s="30"/>
      <c r="R1196" s="31">
        <f>5/100000</f>
        <v>5.0000000000000002E-5</v>
      </c>
      <c r="S1196" s="30"/>
      <c r="T1196" s="30"/>
      <c r="U1196" s="30"/>
      <c r="V1196" s="30"/>
      <c r="W1196" s="30"/>
      <c r="X1196" s="30"/>
      <c r="Y1196" s="30"/>
      <c r="Z1196" s="31">
        <f>14/100000</f>
        <v>1.3999999999999999E-4</v>
      </c>
      <c r="AA1196" s="30"/>
      <c r="AB1196" s="30"/>
      <c r="AC1196" s="30"/>
      <c r="AD1196" s="30"/>
      <c r="AE1196" s="31">
        <f>3.5/100000</f>
        <v>3.4999999999999997E-5</v>
      </c>
      <c r="AF1196" s="30"/>
      <c r="AG1196" s="30"/>
      <c r="AH1196" s="31">
        <f>9/100000</f>
        <v>9.0000000000000006E-5</v>
      </c>
      <c r="AI1196" s="30"/>
      <c r="AJ1196" s="31">
        <f>6.5/100000</f>
        <v>6.4999999999999994E-5</v>
      </c>
      <c r="AK1196" s="16"/>
      <c r="AL1196" s="16"/>
      <c r="AM1196" s="31"/>
      <c r="AN1196" s="31"/>
      <c r="AO1196" s="31"/>
      <c r="AP1196" s="31"/>
      <c r="AQ1196" s="31"/>
      <c r="AR1196" s="31"/>
      <c r="AS1196" s="31"/>
      <c r="AU1196" s="31"/>
      <c r="AV1196" s="31"/>
      <c r="AW1196" s="31"/>
      <c r="AX1196" s="31"/>
      <c r="BA1196" s="31"/>
      <c r="BB1196" s="31"/>
      <c r="BC1196" s="31"/>
      <c r="BD1196" s="31"/>
      <c r="BE1196" s="31">
        <f>8/100000</f>
        <v>8.0000000000000007E-5</v>
      </c>
      <c r="BF1196" s="31">
        <f>0.5/100000</f>
        <v>5.0000000000000004E-6</v>
      </c>
      <c r="BG1196" s="31">
        <f>5/100000</f>
        <v>5.0000000000000002E-5</v>
      </c>
      <c r="BI1196" s="16"/>
      <c r="BJ1196" s="31"/>
      <c r="BK1196" s="16"/>
      <c r="BL1196" s="30"/>
      <c r="BM1196" s="31">
        <f>2.2/100000</f>
        <v>2.2000000000000003E-5</v>
      </c>
      <c r="BN1196" s="16"/>
      <c r="BO1196" s="16"/>
      <c r="BP1196" s="31"/>
      <c r="BQ1196" s="16"/>
      <c r="BR1196" s="31"/>
      <c r="BS1196" s="31"/>
      <c r="BT1196" s="16"/>
      <c r="BU1196" s="31"/>
      <c r="BV1196" s="31"/>
      <c r="BW1196" s="31"/>
      <c r="BX1196" s="31"/>
      <c r="BY1196" s="16"/>
      <c r="BZ1196" s="16"/>
      <c r="CA1196" s="31"/>
      <c r="CB1196" s="16"/>
      <c r="CC1196" s="16"/>
      <c r="CD1196" s="16"/>
      <c r="CE1196" s="31"/>
      <c r="CF1196" s="30"/>
      <c r="CG1196" s="30"/>
      <c r="CH1196" s="74"/>
    </row>
    <row r="1197" spans="1:86" x14ac:dyDescent="0.2">
      <c r="A1197" s="3" t="s">
        <v>37</v>
      </c>
      <c r="B1197" s="39">
        <v>999</v>
      </c>
      <c r="C1197" s="82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1"/>
      <c r="Q1197" s="30"/>
      <c r="R1197" s="31"/>
      <c r="S1197" s="30"/>
      <c r="T1197" s="30"/>
      <c r="U1197" s="30"/>
      <c r="V1197" s="30"/>
      <c r="W1197" s="30"/>
      <c r="X1197" s="30"/>
      <c r="Y1197" s="30"/>
      <c r="Z1197" s="31"/>
      <c r="AA1197" s="30"/>
      <c r="AB1197" s="30"/>
      <c r="AC1197" s="30"/>
      <c r="AD1197" s="30"/>
      <c r="AE1197" s="31"/>
      <c r="AF1197" s="30"/>
      <c r="AG1197" s="30"/>
      <c r="AH1197" s="31"/>
      <c r="AI1197" s="30"/>
      <c r="AJ1197" s="31"/>
      <c r="AK1197" s="16"/>
      <c r="AL1197" s="16"/>
      <c r="AM1197" s="31"/>
      <c r="AN1197" s="31"/>
      <c r="AO1197" s="31"/>
      <c r="AP1197" s="31"/>
      <c r="AQ1197" s="31"/>
      <c r="AR1197" s="31"/>
      <c r="AS1197" s="31"/>
      <c r="AU1197" s="31"/>
      <c r="AV1197" s="31"/>
      <c r="AW1197" s="31"/>
      <c r="AX1197" s="31"/>
      <c r="BA1197" s="31"/>
      <c r="BB1197" s="31"/>
      <c r="BC1197" s="31"/>
      <c r="BD1197" s="31">
        <f>10/100000</f>
        <v>1E-4</v>
      </c>
      <c r="BE1197" s="31"/>
      <c r="BF1197" s="31"/>
      <c r="BG1197" s="31"/>
      <c r="BI1197" s="16"/>
      <c r="BJ1197" s="31"/>
      <c r="BK1197" s="16"/>
      <c r="BL1197" s="30"/>
      <c r="BM1197" s="31">
        <f>10.47/100000</f>
        <v>1.0470000000000001E-4</v>
      </c>
      <c r="BN1197" s="16"/>
      <c r="BO1197" s="16"/>
      <c r="BP1197" s="31"/>
      <c r="BQ1197" s="16"/>
      <c r="BR1197" s="31"/>
      <c r="BS1197" s="31"/>
      <c r="BT1197" s="16"/>
      <c r="BU1197" s="31"/>
      <c r="BV1197" s="31"/>
      <c r="BW1197" s="31"/>
      <c r="BX1197" s="31"/>
      <c r="BY1197" s="16"/>
      <c r="BZ1197" s="16"/>
      <c r="CA1197" s="31"/>
      <c r="CB1197" s="16"/>
      <c r="CC1197" s="16"/>
      <c r="CD1197" s="16"/>
      <c r="CE1197" s="31"/>
      <c r="CF1197" s="30"/>
      <c r="CG1197" s="30"/>
      <c r="CH1197" s="74"/>
    </row>
    <row r="1198" spans="1:86" x14ac:dyDescent="0.2">
      <c r="A1198" s="3" t="s">
        <v>37</v>
      </c>
      <c r="B1198" s="39">
        <v>1000</v>
      </c>
      <c r="C1198" s="82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1"/>
      <c r="Q1198" s="30"/>
      <c r="R1198" s="31"/>
      <c r="S1198" s="30"/>
      <c r="T1198" s="30"/>
      <c r="U1198" s="30"/>
      <c r="V1198" s="30"/>
      <c r="W1198" s="30"/>
      <c r="X1198" s="30"/>
      <c r="Y1198" s="30"/>
      <c r="Z1198" s="31"/>
      <c r="AA1198" s="30"/>
      <c r="AB1198" s="30"/>
      <c r="AC1198" s="30"/>
      <c r="AD1198" s="30"/>
      <c r="AE1198" s="31"/>
      <c r="AF1198" s="30"/>
      <c r="AG1198" s="30"/>
      <c r="AH1198" s="31"/>
      <c r="AI1198" s="30"/>
      <c r="AJ1198" s="31"/>
      <c r="AK1198" s="16"/>
      <c r="AL1198" s="16"/>
      <c r="AM1198" s="31"/>
      <c r="AN1198" s="31"/>
      <c r="AO1198" s="31"/>
      <c r="AP1198" s="31"/>
      <c r="AQ1198" s="31"/>
      <c r="AR1198" s="31"/>
      <c r="AS1198" s="31"/>
      <c r="AU1198" s="31"/>
      <c r="AV1198" s="31"/>
      <c r="AW1198" s="31">
        <f>15.3/100000</f>
        <v>1.5300000000000001E-4</v>
      </c>
      <c r="AX1198" s="31"/>
      <c r="BA1198" s="31"/>
      <c r="BB1198" s="31"/>
      <c r="BC1198" s="31"/>
      <c r="BD1198" s="31"/>
      <c r="BE1198" s="31"/>
      <c r="BF1198" s="31"/>
      <c r="BG1198" s="31"/>
      <c r="BI1198" s="16"/>
      <c r="BJ1198" s="31"/>
      <c r="BK1198" s="16"/>
      <c r="BL1198" s="30"/>
      <c r="BM1198" s="31"/>
      <c r="BN1198" s="16"/>
      <c r="BO1198" s="16"/>
      <c r="BP1198" s="31">
        <f>30.3/100000</f>
        <v>3.0299999999999999E-4</v>
      </c>
      <c r="BQ1198" s="16"/>
      <c r="BR1198" s="31"/>
      <c r="BS1198" s="31"/>
      <c r="BT1198" s="16"/>
      <c r="BU1198" s="31"/>
      <c r="BV1198" s="31"/>
      <c r="BW1198" s="31"/>
      <c r="BX1198" s="31"/>
      <c r="BY1198" s="16"/>
      <c r="BZ1198" s="16"/>
      <c r="CA1198" s="31"/>
      <c r="CB1198" s="16"/>
      <c r="CC1198" s="16"/>
      <c r="CD1198" s="16"/>
      <c r="CE1198" s="31"/>
      <c r="CF1198" s="30"/>
      <c r="CG1198" s="30"/>
      <c r="CH1198" s="74"/>
    </row>
    <row r="1199" spans="1:86" x14ac:dyDescent="0.2">
      <c r="A1199" s="3" t="s">
        <v>37</v>
      </c>
      <c r="B1199" s="39">
        <v>1000</v>
      </c>
      <c r="C1199" s="82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1"/>
      <c r="Q1199" s="30"/>
      <c r="R1199" s="31"/>
      <c r="S1199" s="30"/>
      <c r="T1199" s="30"/>
      <c r="U1199" s="30"/>
      <c r="V1199" s="30"/>
      <c r="W1199" s="30"/>
      <c r="X1199" s="30"/>
      <c r="Y1199" s="30"/>
      <c r="Z1199" s="31"/>
      <c r="AA1199" s="30"/>
      <c r="AB1199" s="30"/>
      <c r="AC1199" s="30"/>
      <c r="AD1199" s="30"/>
      <c r="AE1199" s="31"/>
      <c r="AF1199" s="30"/>
      <c r="AG1199" s="30"/>
      <c r="AH1199" s="31"/>
      <c r="AI1199" s="30"/>
      <c r="AJ1199" s="31"/>
      <c r="AK1199" s="16"/>
      <c r="AL1199" s="16"/>
      <c r="AM1199" s="31"/>
      <c r="AN1199" s="31"/>
      <c r="AO1199" s="31"/>
      <c r="AP1199" s="31"/>
      <c r="AQ1199" s="31"/>
      <c r="AR1199" s="31"/>
      <c r="AS1199" s="31"/>
      <c r="AU1199" s="31"/>
      <c r="AV1199" s="31"/>
      <c r="AW1199" s="31">
        <f>5.8/100000</f>
        <v>5.8E-5</v>
      </c>
      <c r="AX1199" s="31"/>
      <c r="BA1199" s="31"/>
      <c r="BB1199" s="31"/>
      <c r="BC1199" s="31"/>
      <c r="BD1199" s="31"/>
      <c r="BE1199" s="31"/>
      <c r="BF1199" s="31"/>
      <c r="BG1199" s="31"/>
      <c r="BI1199" s="16"/>
      <c r="BJ1199" s="31"/>
      <c r="BK1199" s="16"/>
      <c r="BL1199" s="30"/>
      <c r="BM1199" s="31"/>
      <c r="BN1199" s="16"/>
      <c r="BO1199" s="16"/>
      <c r="BP1199" s="31">
        <f>13/100000</f>
        <v>1.2999999999999999E-4</v>
      </c>
      <c r="BQ1199" s="16"/>
      <c r="BR1199" s="31"/>
      <c r="BS1199" s="31"/>
      <c r="BT1199" s="16"/>
      <c r="BU1199" s="31"/>
      <c r="BV1199" s="31"/>
      <c r="BW1199" s="31"/>
      <c r="BX1199" s="31"/>
      <c r="BY1199" s="16"/>
      <c r="BZ1199" s="16"/>
      <c r="CA1199" s="31"/>
      <c r="CB1199" s="16"/>
      <c r="CC1199" s="16"/>
      <c r="CD1199" s="16"/>
      <c r="CE1199" s="31"/>
      <c r="CF1199" s="30"/>
      <c r="CG1199" s="30"/>
      <c r="CH1199" s="74"/>
    </row>
    <row r="1200" spans="1:86" x14ac:dyDescent="0.2">
      <c r="A1200" s="3" t="s">
        <v>37</v>
      </c>
      <c r="B1200" s="39">
        <v>1001</v>
      </c>
      <c r="C1200" s="82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1"/>
      <c r="Q1200" s="30"/>
      <c r="R1200" s="31"/>
      <c r="S1200" s="30"/>
      <c r="T1200" s="30"/>
      <c r="U1200" s="30"/>
      <c r="V1200" s="30"/>
      <c r="W1200" s="30"/>
      <c r="X1200" s="30"/>
      <c r="Y1200" s="30"/>
      <c r="Z1200" s="31"/>
      <c r="AA1200" s="30"/>
      <c r="AB1200" s="30"/>
      <c r="AC1200" s="30"/>
      <c r="AD1200" s="30"/>
      <c r="AE1200" s="31"/>
      <c r="AF1200" s="30"/>
      <c r="AG1200" s="30"/>
      <c r="AH1200" s="31"/>
      <c r="AI1200" s="30"/>
      <c r="AJ1200" s="31"/>
      <c r="AK1200" s="16"/>
      <c r="AL1200" s="16"/>
      <c r="AM1200" s="31"/>
      <c r="AN1200" s="31"/>
      <c r="AO1200" s="31"/>
      <c r="AP1200" s="31"/>
      <c r="AQ1200" s="31">
        <f>11.4/100000</f>
        <v>1.1400000000000001E-4</v>
      </c>
      <c r="AR1200" s="31"/>
      <c r="AS1200" s="31"/>
      <c r="AU1200" s="31"/>
      <c r="AV1200" s="31"/>
      <c r="AW1200" s="31"/>
      <c r="AX1200" s="31"/>
      <c r="BA1200" s="31"/>
      <c r="BB1200" s="31"/>
      <c r="BC1200" s="31"/>
      <c r="BD1200" s="31"/>
      <c r="BE1200" s="31"/>
      <c r="BF1200" s="31"/>
      <c r="BG1200" s="31"/>
      <c r="BI1200" s="16"/>
      <c r="BJ1200" s="31"/>
      <c r="BK1200" s="16"/>
      <c r="BL1200" s="30"/>
      <c r="BM1200" s="31">
        <f>10.2/100000</f>
        <v>1.02E-4</v>
      </c>
      <c r="BN1200" s="16"/>
      <c r="BO1200" s="16"/>
      <c r="BP1200" s="31"/>
      <c r="BQ1200" s="16"/>
      <c r="BR1200" s="31"/>
      <c r="BS1200" s="31"/>
      <c r="BT1200" s="16"/>
      <c r="BU1200" s="31"/>
      <c r="BV1200" s="31"/>
      <c r="BW1200" s="31"/>
      <c r="BX1200" s="31"/>
      <c r="BY1200" s="16"/>
      <c r="BZ1200" s="16"/>
      <c r="CA1200" s="31"/>
      <c r="CB1200" s="16"/>
      <c r="CC1200" s="16"/>
      <c r="CD1200" s="16"/>
      <c r="CE1200" s="31"/>
      <c r="CF1200" s="30"/>
      <c r="CG1200" s="30"/>
      <c r="CH1200" s="74"/>
    </row>
    <row r="1201" spans="1:86" x14ac:dyDescent="0.2">
      <c r="A1201" s="3" t="s">
        <v>37</v>
      </c>
      <c r="B1201" s="39">
        <v>1002</v>
      </c>
      <c r="C1201" s="82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1"/>
      <c r="Q1201" s="30"/>
      <c r="R1201" s="31"/>
      <c r="S1201" s="30"/>
      <c r="T1201" s="30"/>
      <c r="U1201" s="30"/>
      <c r="V1201" s="30"/>
      <c r="W1201" s="30"/>
      <c r="X1201" s="30"/>
      <c r="Y1201" s="30"/>
      <c r="Z1201" s="31"/>
      <c r="AA1201" s="30"/>
      <c r="AB1201" s="30"/>
      <c r="AC1201" s="30"/>
      <c r="AD1201" s="30"/>
      <c r="AE1201" s="31"/>
      <c r="AF1201" s="30"/>
      <c r="AG1201" s="30"/>
      <c r="AH1201" s="31"/>
      <c r="AI1201" s="30"/>
      <c r="AJ1201" s="31"/>
      <c r="AK1201" s="16"/>
      <c r="AL1201" s="16"/>
      <c r="AM1201" s="31"/>
      <c r="AN1201" s="31"/>
      <c r="AO1201" s="31"/>
      <c r="AP1201" s="31"/>
      <c r="AQ1201" s="31"/>
      <c r="AR1201" s="31"/>
      <c r="AS1201" s="31"/>
      <c r="AU1201" s="31"/>
      <c r="AV1201" s="31"/>
      <c r="AW1201" s="31"/>
      <c r="AX1201" s="31"/>
      <c r="BA1201" s="31"/>
      <c r="BB1201" s="31"/>
      <c r="BC1201" s="31"/>
      <c r="BD1201" s="31"/>
      <c r="BE1201" s="31"/>
      <c r="BF1201" s="31"/>
      <c r="BG1201" s="31"/>
      <c r="BI1201" s="31">
        <f>26.6/1000000</f>
        <v>2.6600000000000003E-5</v>
      </c>
      <c r="BJ1201" s="31"/>
      <c r="BK1201" s="16"/>
      <c r="BL1201" s="30"/>
      <c r="BM1201" s="31"/>
      <c r="BN1201" s="16"/>
      <c r="BO1201" s="16"/>
      <c r="BP1201" s="31"/>
      <c r="BQ1201" s="16"/>
      <c r="BR1201" s="31"/>
      <c r="BS1201" s="31"/>
      <c r="BT1201" s="16"/>
      <c r="BU1201" s="31"/>
      <c r="BV1201" s="31">
        <f>42.5/1000000</f>
        <v>4.2500000000000003E-5</v>
      </c>
      <c r="BW1201" s="31"/>
      <c r="BX1201" s="31"/>
      <c r="BY1201" s="16"/>
      <c r="BZ1201" s="16"/>
      <c r="CA1201" s="31"/>
      <c r="CB1201" s="16"/>
      <c r="CC1201" s="16"/>
      <c r="CD1201" s="16"/>
      <c r="CE1201" s="31"/>
      <c r="CF1201" s="30"/>
      <c r="CG1201" s="30"/>
      <c r="CH1201" s="74"/>
    </row>
    <row r="1202" spans="1:86" x14ac:dyDescent="0.2">
      <c r="A1202" s="3" t="s">
        <v>37</v>
      </c>
      <c r="B1202" s="39">
        <v>1002</v>
      </c>
      <c r="C1202" s="82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1"/>
      <c r="Q1202" s="30"/>
      <c r="R1202" s="31"/>
      <c r="S1202" s="30"/>
      <c r="T1202" s="30"/>
      <c r="U1202" s="30"/>
      <c r="V1202" s="30"/>
      <c r="W1202" s="30"/>
      <c r="X1202" s="30"/>
      <c r="Y1202" s="30"/>
      <c r="Z1202" s="31"/>
      <c r="AA1202" s="30"/>
      <c r="AB1202" s="30"/>
      <c r="AC1202" s="30"/>
      <c r="AD1202" s="30"/>
      <c r="AE1202" s="31"/>
      <c r="AF1202" s="30"/>
      <c r="AG1202" s="30"/>
      <c r="AH1202" s="31"/>
      <c r="AI1202" s="30"/>
      <c r="AJ1202" s="31"/>
      <c r="AK1202" s="16"/>
      <c r="AL1202" s="16"/>
      <c r="AM1202" s="31"/>
      <c r="AN1202" s="31"/>
      <c r="AO1202" s="31"/>
      <c r="AP1202" s="31"/>
      <c r="AQ1202" s="31"/>
      <c r="AR1202" s="31"/>
      <c r="AS1202" s="31"/>
      <c r="AU1202" s="31"/>
      <c r="AV1202" s="31"/>
      <c r="AW1202" s="31"/>
      <c r="AX1202" s="31"/>
      <c r="BA1202" s="31"/>
      <c r="BB1202" s="31"/>
      <c r="BC1202" s="31"/>
      <c r="BD1202" s="31"/>
      <c r="BE1202" s="31"/>
      <c r="BF1202" s="31"/>
      <c r="BG1202" s="31"/>
      <c r="BI1202" s="31">
        <f>10.4/1000000</f>
        <v>1.04E-5</v>
      </c>
      <c r="BJ1202" s="31"/>
      <c r="BK1202" s="16"/>
      <c r="BL1202" s="30"/>
      <c r="BM1202" s="31"/>
      <c r="BN1202" s="16"/>
      <c r="BO1202" s="16"/>
      <c r="BP1202" s="31"/>
      <c r="BQ1202" s="16"/>
      <c r="BR1202" s="31"/>
      <c r="BS1202" s="31"/>
      <c r="BT1202" s="16"/>
      <c r="BU1202" s="31"/>
      <c r="BV1202" s="31">
        <f>21.1/1000000</f>
        <v>2.1100000000000001E-5</v>
      </c>
      <c r="BW1202" s="31"/>
      <c r="BX1202" s="31"/>
      <c r="BY1202" s="16"/>
      <c r="BZ1202" s="16"/>
      <c r="CA1202" s="31"/>
      <c r="CB1202" s="16"/>
      <c r="CC1202" s="16"/>
      <c r="CD1202" s="16"/>
      <c r="CE1202" s="31"/>
      <c r="CF1202" s="30"/>
      <c r="CG1202" s="30"/>
      <c r="CH1202" s="74"/>
    </row>
    <row r="1203" spans="1:86" x14ac:dyDescent="0.2">
      <c r="A1203" s="3" t="s">
        <v>37</v>
      </c>
      <c r="B1203" s="39">
        <v>1003</v>
      </c>
      <c r="C1203" s="82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1"/>
      <c r="Q1203" s="30"/>
      <c r="R1203" s="31"/>
      <c r="S1203" s="30"/>
      <c r="T1203" s="30"/>
      <c r="U1203" s="30"/>
      <c r="V1203" s="30"/>
      <c r="W1203" s="30"/>
      <c r="X1203" s="30"/>
      <c r="Y1203" s="30"/>
      <c r="Z1203" s="31"/>
      <c r="AA1203" s="30"/>
      <c r="AB1203" s="30"/>
      <c r="AC1203" s="30"/>
      <c r="AD1203" s="30"/>
      <c r="AE1203" s="31"/>
      <c r="AF1203" s="30"/>
      <c r="AG1203" s="30"/>
      <c r="AH1203" s="31"/>
      <c r="AI1203" s="30"/>
      <c r="AJ1203" s="31"/>
      <c r="AK1203" s="16"/>
      <c r="AL1203" s="16"/>
      <c r="AM1203" s="31"/>
      <c r="AN1203" s="31"/>
      <c r="AO1203" s="31"/>
      <c r="AP1203" s="31"/>
      <c r="AQ1203" s="31"/>
      <c r="AR1203" s="31"/>
      <c r="AS1203" s="31"/>
      <c r="AU1203" s="31"/>
      <c r="AV1203" s="31"/>
      <c r="AW1203" s="31"/>
      <c r="AX1203" s="31"/>
      <c r="BA1203" s="31"/>
      <c r="BB1203" s="31"/>
      <c r="BC1203" s="31"/>
      <c r="BD1203" s="31"/>
      <c r="BE1203" s="31"/>
      <c r="BF1203" s="31"/>
      <c r="BG1203" s="31"/>
      <c r="BI1203" s="31"/>
      <c r="BJ1203" s="31">
        <f>10.5/100000</f>
        <v>1.05E-4</v>
      </c>
      <c r="BK1203" s="16"/>
      <c r="BL1203" s="30"/>
      <c r="BM1203" s="31"/>
      <c r="BN1203" s="16"/>
      <c r="BO1203" s="16"/>
      <c r="BP1203" s="31"/>
      <c r="BQ1203" s="16"/>
      <c r="BR1203" s="31"/>
      <c r="BS1203" s="31"/>
      <c r="BT1203" s="16"/>
      <c r="BU1203" s="31"/>
      <c r="BV1203" s="31"/>
      <c r="BW1203" s="31"/>
      <c r="BX1203" s="31"/>
      <c r="BY1203" s="31">
        <f>13/100000</f>
        <v>1.2999999999999999E-4</v>
      </c>
      <c r="BZ1203" s="16"/>
      <c r="CA1203" s="31"/>
      <c r="CB1203" s="16"/>
      <c r="CC1203" s="16"/>
      <c r="CD1203" s="16"/>
      <c r="CE1203" s="31"/>
      <c r="CF1203" s="30"/>
      <c r="CG1203" s="30"/>
      <c r="CH1203" s="74"/>
    </row>
    <row r="1204" spans="1:86" x14ac:dyDescent="0.2">
      <c r="A1204" s="3" t="s">
        <v>37</v>
      </c>
      <c r="B1204" s="39">
        <v>1004</v>
      </c>
      <c r="C1204" s="82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1"/>
      <c r="Q1204" s="30"/>
      <c r="R1204" s="31"/>
      <c r="S1204" s="30"/>
      <c r="T1204" s="30"/>
      <c r="U1204" s="30"/>
      <c r="V1204" s="30"/>
      <c r="W1204" s="30"/>
      <c r="X1204" s="30"/>
      <c r="Y1204" s="30"/>
      <c r="Z1204" s="31"/>
      <c r="AA1204" s="30"/>
      <c r="AB1204" s="30"/>
      <c r="AC1204" s="30"/>
      <c r="AD1204" s="30"/>
      <c r="AE1204" s="31"/>
      <c r="AF1204" s="30"/>
      <c r="AG1204" s="31">
        <f>13.85/100000</f>
        <v>1.3850000000000001E-4</v>
      </c>
      <c r="AH1204" s="31"/>
      <c r="AI1204" s="30"/>
      <c r="AJ1204" s="31"/>
      <c r="AK1204" s="16"/>
      <c r="AL1204" s="16"/>
      <c r="AM1204" s="31"/>
      <c r="AN1204" s="31"/>
      <c r="AO1204" s="31"/>
      <c r="AP1204" s="31"/>
      <c r="AQ1204" s="31"/>
      <c r="AR1204" s="31"/>
      <c r="AS1204" s="31"/>
      <c r="AU1204" s="31"/>
      <c r="AV1204" s="31"/>
      <c r="AW1204" s="31"/>
      <c r="AX1204" s="31"/>
      <c r="BA1204" s="31"/>
      <c r="BB1204" s="31"/>
      <c r="BC1204" s="31"/>
      <c r="BD1204" s="31"/>
      <c r="BE1204" s="31"/>
      <c r="BF1204" s="31"/>
      <c r="BG1204" s="31"/>
      <c r="BI1204" s="31"/>
      <c r="BJ1204" s="31">
        <f>24.01/100000</f>
        <v>2.4010000000000001E-4</v>
      </c>
      <c r="BK1204" s="16"/>
      <c r="BL1204" s="30"/>
      <c r="BM1204" s="31"/>
      <c r="BN1204" s="16"/>
      <c r="BO1204" s="16"/>
      <c r="BP1204" s="31"/>
      <c r="BQ1204" s="16"/>
      <c r="BR1204" s="31"/>
      <c r="BS1204" s="31"/>
      <c r="BT1204" s="31">
        <f>14.66/100000</f>
        <v>1.4660000000000001E-4</v>
      </c>
      <c r="BU1204" s="31"/>
      <c r="BV1204" s="31"/>
      <c r="BW1204" s="31"/>
      <c r="BX1204" s="31"/>
      <c r="BY1204" s="31"/>
      <c r="BZ1204" s="16"/>
      <c r="CA1204" s="31"/>
      <c r="CB1204" s="16"/>
      <c r="CC1204" s="16"/>
      <c r="CD1204" s="16"/>
      <c r="CE1204" s="31"/>
      <c r="CF1204" s="30"/>
      <c r="CG1204" s="30"/>
      <c r="CH1204" s="74"/>
    </row>
    <row r="1205" spans="1:86" x14ac:dyDescent="0.2">
      <c r="A1205" s="3" t="s">
        <v>37</v>
      </c>
      <c r="B1205" s="39">
        <v>1005</v>
      </c>
      <c r="C1205" s="82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1"/>
      <c r="Q1205" s="30"/>
      <c r="R1205" s="31"/>
      <c r="S1205" s="30"/>
      <c r="T1205" s="30"/>
      <c r="U1205" s="30"/>
      <c r="V1205" s="30"/>
      <c r="W1205" s="30"/>
      <c r="X1205" s="30"/>
      <c r="Y1205" s="30"/>
      <c r="Z1205" s="31"/>
      <c r="AA1205" s="30"/>
      <c r="AB1205" s="30"/>
      <c r="AC1205" s="30"/>
      <c r="AD1205" s="30"/>
      <c r="AE1205" s="31"/>
      <c r="AF1205" s="30"/>
      <c r="AG1205" s="31"/>
      <c r="AH1205" s="31"/>
      <c r="AI1205" s="30"/>
      <c r="AJ1205" s="31"/>
      <c r="AK1205" s="16"/>
      <c r="AL1205" s="16"/>
      <c r="AM1205" s="31"/>
      <c r="AN1205" s="31"/>
      <c r="AO1205" s="31"/>
      <c r="AP1205" s="31"/>
      <c r="AQ1205" s="31"/>
      <c r="AR1205" s="31"/>
      <c r="AS1205" s="31"/>
      <c r="AU1205" s="31"/>
      <c r="AV1205" s="31"/>
      <c r="AW1205" s="31"/>
      <c r="AX1205" s="31"/>
      <c r="BA1205" s="31"/>
      <c r="BB1205" s="31"/>
      <c r="BC1205" s="31"/>
      <c r="BD1205" s="31">
        <f>14.61/100000</f>
        <v>1.461E-4</v>
      </c>
      <c r="BE1205" s="31"/>
      <c r="BF1205" s="31"/>
      <c r="BG1205" s="31"/>
      <c r="BI1205" s="31"/>
      <c r="BJ1205" s="31"/>
      <c r="BK1205" s="16"/>
      <c r="BL1205" s="30"/>
      <c r="BM1205" s="31"/>
      <c r="BN1205" s="16"/>
      <c r="BO1205" s="16"/>
      <c r="BP1205" s="31"/>
      <c r="BQ1205" s="16"/>
      <c r="BR1205" s="31"/>
      <c r="BS1205" s="31"/>
      <c r="BT1205" s="31"/>
      <c r="BU1205" s="31"/>
      <c r="BV1205" s="31"/>
      <c r="BW1205" s="31"/>
      <c r="BX1205" s="31"/>
      <c r="BY1205" s="31"/>
      <c r="BZ1205" s="31">
        <f>7.76/100000</f>
        <v>7.7600000000000002E-5</v>
      </c>
      <c r="CA1205" s="31"/>
      <c r="CB1205" s="16"/>
      <c r="CC1205" s="16"/>
      <c r="CD1205" s="16"/>
      <c r="CE1205" s="31"/>
      <c r="CF1205" s="30"/>
      <c r="CG1205" s="30"/>
      <c r="CH1205" s="74"/>
    </row>
    <row r="1206" spans="1:86" x14ac:dyDescent="0.2">
      <c r="A1206" s="3" t="s">
        <v>37</v>
      </c>
      <c r="B1206" s="39">
        <v>1006</v>
      </c>
      <c r="C1206" s="82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1"/>
      <c r="Q1206" s="30"/>
      <c r="R1206" s="31"/>
      <c r="S1206" s="30"/>
      <c r="T1206" s="30"/>
      <c r="U1206" s="30"/>
      <c r="V1206" s="30"/>
      <c r="W1206" s="30"/>
      <c r="X1206" s="30"/>
      <c r="Y1206" s="30"/>
      <c r="Z1206" s="31"/>
      <c r="AA1206" s="30"/>
      <c r="AB1206" s="30"/>
      <c r="AC1206" s="30"/>
      <c r="AD1206" s="30"/>
      <c r="AE1206" s="31"/>
      <c r="AF1206" s="30"/>
      <c r="AG1206" s="31"/>
      <c r="AH1206" s="31"/>
      <c r="AI1206" s="30"/>
      <c r="AJ1206" s="31"/>
      <c r="AK1206" s="16"/>
      <c r="AL1206" s="16"/>
      <c r="AM1206" s="31"/>
      <c r="AN1206" s="31"/>
      <c r="AO1206" s="31"/>
      <c r="AP1206" s="31"/>
      <c r="AQ1206" s="31"/>
      <c r="AR1206" s="31"/>
      <c r="AS1206" s="31"/>
      <c r="AU1206" s="31"/>
      <c r="AV1206" s="31"/>
      <c r="AW1206" s="31"/>
      <c r="AX1206" s="31"/>
      <c r="BA1206" s="31"/>
      <c r="BB1206" s="31"/>
      <c r="BC1206" s="31"/>
      <c r="BD1206" s="31"/>
      <c r="BE1206" s="31"/>
      <c r="BF1206" s="31"/>
      <c r="BG1206" s="31"/>
      <c r="BH1206" s="31">
        <f>12.7/100000</f>
        <v>1.27E-4</v>
      </c>
      <c r="BI1206" s="31"/>
      <c r="BJ1206" s="31"/>
      <c r="BK1206" s="16"/>
      <c r="BL1206" s="30"/>
      <c r="BM1206" s="31"/>
      <c r="BN1206" s="16"/>
      <c r="BO1206" s="16"/>
      <c r="BP1206" s="31"/>
      <c r="BQ1206" s="16"/>
      <c r="BR1206" s="31"/>
      <c r="BS1206" s="31"/>
      <c r="BT1206" s="31"/>
      <c r="BU1206" s="31"/>
      <c r="BV1206" s="31"/>
      <c r="BW1206" s="31"/>
      <c r="BX1206" s="31"/>
      <c r="BY1206" s="31"/>
      <c r="BZ1206" s="31"/>
      <c r="CA1206" s="31">
        <f>23.3/100000</f>
        <v>2.33E-4</v>
      </c>
      <c r="CB1206" s="16"/>
      <c r="CC1206" s="16"/>
      <c r="CD1206" s="16"/>
      <c r="CE1206" s="31"/>
      <c r="CF1206" s="30"/>
      <c r="CG1206" s="30"/>
      <c r="CH1206" s="74"/>
    </row>
    <row r="1207" spans="1:86" x14ac:dyDescent="0.2">
      <c r="A1207" s="3" t="s">
        <v>37</v>
      </c>
      <c r="B1207" s="39">
        <v>1007</v>
      </c>
      <c r="C1207" s="82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1"/>
      <c r="Q1207" s="30"/>
      <c r="R1207" s="31"/>
      <c r="S1207" s="30"/>
      <c r="T1207" s="30"/>
      <c r="U1207" s="30"/>
      <c r="V1207" s="30"/>
      <c r="W1207" s="30"/>
      <c r="X1207" s="30"/>
      <c r="Y1207" s="30"/>
      <c r="Z1207" s="31"/>
      <c r="AA1207" s="30"/>
      <c r="AB1207" s="30"/>
      <c r="AC1207" s="30"/>
      <c r="AD1207" s="30"/>
      <c r="AE1207" s="31"/>
      <c r="AF1207" s="30"/>
      <c r="AG1207" s="31"/>
      <c r="AH1207" s="31"/>
      <c r="AI1207" s="30"/>
      <c r="AJ1207" s="31"/>
      <c r="AK1207" s="16"/>
      <c r="AL1207" s="16"/>
      <c r="AM1207" s="31"/>
      <c r="AN1207" s="31"/>
      <c r="AO1207" s="31"/>
      <c r="AP1207" s="31"/>
      <c r="AQ1207" s="31"/>
      <c r="AR1207" s="31"/>
      <c r="AS1207" s="31"/>
      <c r="AU1207" s="31"/>
      <c r="AV1207" s="31"/>
      <c r="AW1207" s="31"/>
      <c r="AX1207" s="31"/>
      <c r="BA1207" s="31"/>
      <c r="BB1207" s="31"/>
      <c r="BC1207" s="31"/>
      <c r="BD1207" s="31"/>
      <c r="BE1207" s="31"/>
      <c r="BF1207" s="31"/>
      <c r="BG1207" s="31"/>
      <c r="BH1207" s="31"/>
      <c r="BI1207" s="31"/>
      <c r="BJ1207" s="31"/>
      <c r="BK1207" s="16"/>
      <c r="BL1207" s="30"/>
      <c r="BM1207" s="31"/>
      <c r="BN1207" s="16"/>
      <c r="BO1207" s="31">
        <f>7.36/100000</f>
        <v>7.36E-5</v>
      </c>
      <c r="BP1207" s="31">
        <f>12.89/100000</f>
        <v>1.2890000000000002E-4</v>
      </c>
      <c r="BQ1207" s="31">
        <f>5.02/100000</f>
        <v>5.0199999999999994E-5</v>
      </c>
      <c r="BR1207" s="31">
        <f>4.89/100000</f>
        <v>4.8899999999999996E-5</v>
      </c>
      <c r="BS1207" s="31">
        <f>3.59/100000</f>
        <v>3.5899999999999998E-5</v>
      </c>
      <c r="BT1207" s="31">
        <f>4.95/100000</f>
        <v>4.9500000000000004E-5</v>
      </c>
      <c r="BU1207" s="31">
        <f>6.86/100000</f>
        <v>6.86E-5</v>
      </c>
      <c r="BV1207" s="31">
        <f>5.82/100000</f>
        <v>5.8200000000000005E-5</v>
      </c>
      <c r="BW1207" s="31">
        <f>4.81/100000</f>
        <v>4.8099999999999997E-5</v>
      </c>
      <c r="BX1207" s="31">
        <f>5.29/100000</f>
        <v>5.2899999999999998E-5</v>
      </c>
      <c r="BY1207" s="31">
        <f>5.01/100000</f>
        <v>5.0099999999999998E-5</v>
      </c>
      <c r="BZ1207" s="31"/>
      <c r="CA1207" s="31"/>
      <c r="CB1207" s="16"/>
      <c r="CC1207" s="16"/>
      <c r="CD1207" s="16"/>
      <c r="CE1207" s="31"/>
      <c r="CF1207" s="30"/>
      <c r="CG1207" s="30"/>
      <c r="CH1207" s="74"/>
    </row>
    <row r="1208" spans="1:86" x14ac:dyDescent="0.2">
      <c r="A1208" s="3" t="s">
        <v>37</v>
      </c>
      <c r="B1208" s="39">
        <v>1007</v>
      </c>
      <c r="C1208" s="82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1"/>
      <c r="Q1208" s="30"/>
      <c r="R1208" s="31"/>
      <c r="S1208" s="30"/>
      <c r="T1208" s="30"/>
      <c r="U1208" s="30"/>
      <c r="V1208" s="30"/>
      <c r="W1208" s="30"/>
      <c r="X1208" s="30"/>
      <c r="Y1208" s="30"/>
      <c r="Z1208" s="31"/>
      <c r="AA1208" s="30"/>
      <c r="AB1208" s="30"/>
      <c r="AC1208" s="30"/>
      <c r="AD1208" s="30"/>
      <c r="AE1208" s="31"/>
      <c r="AF1208" s="30"/>
      <c r="AG1208" s="31"/>
      <c r="AH1208" s="31"/>
      <c r="AI1208" s="30"/>
      <c r="AJ1208" s="31"/>
      <c r="AK1208" s="16"/>
      <c r="AL1208" s="16"/>
      <c r="AM1208" s="31"/>
      <c r="AN1208" s="31"/>
      <c r="AO1208" s="31"/>
      <c r="AP1208" s="31"/>
      <c r="AQ1208" s="31"/>
      <c r="AR1208" s="31"/>
      <c r="AS1208" s="31"/>
      <c r="AU1208" s="31"/>
      <c r="AV1208" s="31"/>
      <c r="AW1208" s="31"/>
      <c r="AX1208" s="31"/>
      <c r="BA1208" s="31"/>
      <c r="BB1208" s="31"/>
      <c r="BC1208" s="31"/>
      <c r="BD1208" s="31"/>
      <c r="BE1208" s="31"/>
      <c r="BF1208" s="31"/>
      <c r="BG1208" s="31"/>
      <c r="BH1208" s="31"/>
      <c r="BI1208" s="31"/>
      <c r="BJ1208" s="31"/>
      <c r="BK1208" s="16"/>
      <c r="BL1208" s="30"/>
      <c r="BM1208" s="31"/>
      <c r="BN1208" s="16"/>
      <c r="BO1208" s="31">
        <f>11.96/100000</f>
        <v>1.1960000000000001E-4</v>
      </c>
      <c r="BP1208" s="31">
        <f>10.08/100000</f>
        <v>1.008E-4</v>
      </c>
      <c r="BQ1208" s="31">
        <f>9.26/100000</f>
        <v>9.2600000000000001E-5</v>
      </c>
      <c r="BR1208" s="31">
        <f>10.31/100000</f>
        <v>1.031E-4</v>
      </c>
      <c r="BS1208" s="31">
        <f>8.25/100000</f>
        <v>8.25E-5</v>
      </c>
      <c r="BT1208" s="31">
        <f>9.15/100000</f>
        <v>9.1500000000000001E-5</v>
      </c>
      <c r="BU1208" s="31">
        <f>10.05/100000</f>
        <v>1.005E-4</v>
      </c>
      <c r="BV1208" s="31">
        <f>9.28/100000</f>
        <v>9.2799999999999992E-5</v>
      </c>
      <c r="BW1208" s="31">
        <f>8.58/100000</f>
        <v>8.5799999999999998E-5</v>
      </c>
      <c r="BX1208" s="31">
        <f>8.77/100000</f>
        <v>8.769999999999999E-5</v>
      </c>
      <c r="BY1208" s="31">
        <f>8.61/100000</f>
        <v>8.6099999999999992E-5</v>
      </c>
      <c r="BZ1208" s="31"/>
      <c r="CA1208" s="31"/>
      <c r="CB1208" s="16"/>
      <c r="CC1208" s="16"/>
      <c r="CD1208" s="16"/>
      <c r="CE1208" s="31"/>
      <c r="CF1208" s="30"/>
      <c r="CG1208" s="30"/>
      <c r="CH1208" s="74"/>
    </row>
    <row r="1209" spans="1:86" x14ac:dyDescent="0.2">
      <c r="A1209" s="3" t="s">
        <v>37</v>
      </c>
      <c r="B1209" s="39">
        <v>1008</v>
      </c>
      <c r="C1209" s="82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1"/>
      <c r="Q1209" s="30"/>
      <c r="R1209" s="31"/>
      <c r="S1209" s="30"/>
      <c r="T1209" s="30"/>
      <c r="U1209" s="30"/>
      <c r="V1209" s="30"/>
      <c r="W1209" s="30"/>
      <c r="X1209" s="30"/>
      <c r="Y1209" s="30"/>
      <c r="Z1209" s="31"/>
      <c r="AA1209" s="30"/>
      <c r="AB1209" s="30"/>
      <c r="AC1209" s="30"/>
      <c r="AD1209" s="30"/>
      <c r="AE1209" s="31"/>
      <c r="AF1209" s="30"/>
      <c r="AG1209" s="31"/>
      <c r="AH1209" s="31"/>
      <c r="AI1209" s="30"/>
      <c r="AJ1209" s="31"/>
      <c r="AK1209" s="16"/>
      <c r="AL1209" s="16"/>
      <c r="AM1209" s="31"/>
      <c r="AN1209" s="31"/>
      <c r="AO1209" s="31"/>
      <c r="AP1209" s="31"/>
      <c r="AQ1209" s="31"/>
      <c r="AR1209" s="31"/>
      <c r="AS1209" s="31"/>
      <c r="AU1209" s="31"/>
      <c r="AV1209" s="31"/>
      <c r="AW1209" s="31"/>
      <c r="AX1209" s="31"/>
      <c r="BA1209" s="31"/>
      <c r="BB1209" s="31"/>
      <c r="BC1209" s="31"/>
      <c r="BD1209" s="31"/>
      <c r="BE1209" s="31"/>
      <c r="BF1209" s="31"/>
      <c r="BG1209" s="31"/>
      <c r="BH1209" s="31"/>
      <c r="BI1209" s="31"/>
      <c r="BJ1209" s="31"/>
      <c r="BK1209" s="16"/>
      <c r="BL1209" s="30"/>
      <c r="BM1209" s="31">
        <f>15.24/100000</f>
        <v>1.5239999999999999E-4</v>
      </c>
      <c r="BN1209" s="16"/>
      <c r="BO1209" s="31"/>
      <c r="BP1209" s="31"/>
      <c r="BQ1209" s="31"/>
      <c r="BR1209" s="31"/>
      <c r="BS1209" s="31"/>
      <c r="BT1209" s="31"/>
      <c r="BU1209" s="31"/>
      <c r="BV1209" s="31"/>
      <c r="BW1209" s="31"/>
      <c r="BX1209" s="31"/>
      <c r="BY1209" s="31"/>
      <c r="BZ1209" s="31">
        <f>9.58/100000</f>
        <v>9.5799999999999998E-5</v>
      </c>
      <c r="CA1209" s="31"/>
      <c r="CB1209" s="16"/>
      <c r="CC1209" s="16"/>
      <c r="CD1209" s="16"/>
      <c r="CE1209" s="31"/>
      <c r="CF1209" s="30"/>
      <c r="CG1209" s="30"/>
      <c r="CH1209" s="74"/>
    </row>
    <row r="1210" spans="1:86" x14ac:dyDescent="0.2">
      <c r="A1210" s="3" t="s">
        <v>37</v>
      </c>
      <c r="B1210" s="39">
        <v>1008</v>
      </c>
      <c r="C1210" s="82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1"/>
      <c r="Q1210" s="30"/>
      <c r="R1210" s="31"/>
      <c r="S1210" s="30"/>
      <c r="T1210" s="30"/>
      <c r="U1210" s="30"/>
      <c r="V1210" s="30"/>
      <c r="W1210" s="30"/>
      <c r="X1210" s="30"/>
      <c r="Y1210" s="30"/>
      <c r="Z1210" s="31"/>
      <c r="AA1210" s="30"/>
      <c r="AB1210" s="30"/>
      <c r="AC1210" s="30"/>
      <c r="AD1210" s="30"/>
      <c r="AE1210" s="31"/>
      <c r="AF1210" s="30"/>
      <c r="AG1210" s="31"/>
      <c r="AH1210" s="31"/>
      <c r="AI1210" s="30"/>
      <c r="AJ1210" s="31"/>
      <c r="AK1210" s="16"/>
      <c r="AL1210" s="16"/>
      <c r="AM1210" s="31"/>
      <c r="AN1210" s="31"/>
      <c r="AO1210" s="31"/>
      <c r="AP1210" s="31"/>
      <c r="AQ1210" s="31"/>
      <c r="AR1210" s="31"/>
      <c r="AS1210" s="31"/>
      <c r="AU1210" s="31"/>
      <c r="AV1210" s="31"/>
      <c r="AW1210" s="31"/>
      <c r="AX1210" s="31"/>
      <c r="BA1210" s="31"/>
      <c r="BB1210" s="31"/>
      <c r="BC1210" s="31"/>
      <c r="BD1210" s="31"/>
      <c r="BE1210" s="31"/>
      <c r="BF1210" s="31"/>
      <c r="BG1210" s="31"/>
      <c r="BH1210" s="31"/>
      <c r="BI1210" s="31"/>
      <c r="BJ1210" s="31"/>
      <c r="BK1210" s="16"/>
      <c r="BL1210" s="30"/>
      <c r="BM1210" s="31">
        <f>15.4/100000</f>
        <v>1.54E-4</v>
      </c>
      <c r="BN1210" s="16"/>
      <c r="BO1210" s="31"/>
      <c r="BP1210" s="31"/>
      <c r="BQ1210" s="31"/>
      <c r="BR1210" s="31"/>
      <c r="BS1210" s="31"/>
      <c r="BT1210" s="31"/>
      <c r="BU1210" s="31"/>
      <c r="BV1210" s="31"/>
      <c r="BW1210" s="31"/>
      <c r="BX1210" s="31"/>
      <c r="BY1210" s="31"/>
      <c r="BZ1210" s="31">
        <f>7.16/100000</f>
        <v>7.1600000000000006E-5</v>
      </c>
      <c r="CA1210" s="31"/>
      <c r="CB1210" s="16"/>
      <c r="CC1210" s="16"/>
      <c r="CD1210" s="16"/>
      <c r="CE1210" s="31"/>
      <c r="CF1210" s="30"/>
      <c r="CG1210" s="30"/>
      <c r="CH1210" s="74"/>
    </row>
    <row r="1211" spans="1:86" x14ac:dyDescent="0.2">
      <c r="A1211" s="3" t="s">
        <v>37</v>
      </c>
      <c r="B1211" s="39">
        <v>1008</v>
      </c>
      <c r="C1211" s="82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1"/>
      <c r="Q1211" s="30"/>
      <c r="R1211" s="31"/>
      <c r="S1211" s="30"/>
      <c r="T1211" s="30"/>
      <c r="U1211" s="30"/>
      <c r="V1211" s="30"/>
      <c r="W1211" s="30"/>
      <c r="X1211" s="30"/>
      <c r="Y1211" s="30"/>
      <c r="Z1211" s="31"/>
      <c r="AA1211" s="30"/>
      <c r="AB1211" s="30"/>
      <c r="AC1211" s="30"/>
      <c r="AD1211" s="30"/>
      <c r="AE1211" s="31"/>
      <c r="AF1211" s="30"/>
      <c r="AG1211" s="31"/>
      <c r="AH1211" s="31"/>
      <c r="AI1211" s="30"/>
      <c r="AJ1211" s="31"/>
      <c r="AK1211" s="16"/>
      <c r="AL1211" s="16"/>
      <c r="AM1211" s="31"/>
      <c r="AN1211" s="31"/>
      <c r="AO1211" s="31"/>
      <c r="AP1211" s="31"/>
      <c r="AQ1211" s="31"/>
      <c r="AR1211" s="31"/>
      <c r="AS1211" s="31"/>
      <c r="AU1211" s="31"/>
      <c r="AV1211" s="31"/>
      <c r="AW1211" s="31"/>
      <c r="AX1211" s="31"/>
      <c r="BA1211" s="31"/>
      <c r="BB1211" s="31"/>
      <c r="BC1211" s="31"/>
      <c r="BD1211" s="31"/>
      <c r="BE1211" s="31"/>
      <c r="BF1211" s="31"/>
      <c r="BG1211" s="31"/>
      <c r="BH1211" s="31"/>
      <c r="BI1211" s="31"/>
      <c r="BJ1211" s="31"/>
      <c r="BK1211" s="16"/>
      <c r="BL1211" s="30"/>
      <c r="BM1211" s="31">
        <f>13.16/100000</f>
        <v>1.316E-4</v>
      </c>
      <c r="BN1211" s="16"/>
      <c r="BO1211" s="31"/>
      <c r="BP1211" s="31"/>
      <c r="BQ1211" s="31"/>
      <c r="BR1211" s="31"/>
      <c r="BS1211" s="31"/>
      <c r="BT1211" s="31"/>
      <c r="BU1211" s="31"/>
      <c r="BV1211" s="31"/>
      <c r="BW1211" s="31"/>
      <c r="BX1211" s="31"/>
      <c r="BY1211" s="31"/>
      <c r="BZ1211" s="31">
        <f>5.85/100000</f>
        <v>5.8499999999999999E-5</v>
      </c>
      <c r="CA1211" s="31"/>
      <c r="CB1211" s="16"/>
      <c r="CC1211" s="16"/>
      <c r="CD1211" s="16"/>
      <c r="CE1211" s="31"/>
      <c r="CF1211" s="30"/>
      <c r="CG1211" s="30"/>
      <c r="CH1211" s="74"/>
    </row>
    <row r="1212" spans="1:86" x14ac:dyDescent="0.2">
      <c r="A1212" s="3" t="s">
        <v>37</v>
      </c>
      <c r="B1212" s="39">
        <v>1008</v>
      </c>
      <c r="C1212" s="82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1"/>
      <c r="Q1212" s="30"/>
      <c r="R1212" s="31"/>
      <c r="S1212" s="30"/>
      <c r="T1212" s="30"/>
      <c r="U1212" s="30"/>
      <c r="V1212" s="30"/>
      <c r="W1212" s="30"/>
      <c r="X1212" s="30"/>
      <c r="Y1212" s="30"/>
      <c r="Z1212" s="31"/>
      <c r="AA1212" s="30"/>
      <c r="AB1212" s="30"/>
      <c r="AC1212" s="30"/>
      <c r="AD1212" s="30"/>
      <c r="AE1212" s="31"/>
      <c r="AF1212" s="30"/>
      <c r="AG1212" s="31"/>
      <c r="AH1212" s="31"/>
      <c r="AI1212" s="30"/>
      <c r="AJ1212" s="31"/>
      <c r="AK1212" s="16"/>
      <c r="AL1212" s="16"/>
      <c r="AM1212" s="31"/>
      <c r="AN1212" s="31"/>
      <c r="AO1212" s="31"/>
      <c r="AP1212" s="31"/>
      <c r="AQ1212" s="31"/>
      <c r="AR1212" s="31"/>
      <c r="AS1212" s="31"/>
      <c r="AU1212" s="31"/>
      <c r="AV1212" s="31"/>
      <c r="AW1212" s="31"/>
      <c r="AX1212" s="31"/>
      <c r="BA1212" s="31"/>
      <c r="BB1212" s="31"/>
      <c r="BC1212" s="31"/>
      <c r="BD1212" s="31"/>
      <c r="BE1212" s="31"/>
      <c r="BF1212" s="31"/>
      <c r="BG1212" s="31"/>
      <c r="BH1212" s="31"/>
      <c r="BI1212" s="31"/>
      <c r="BJ1212" s="31"/>
      <c r="BK1212" s="16"/>
      <c r="BL1212" s="30"/>
      <c r="BM1212" s="31">
        <f>12.4/100000</f>
        <v>1.2400000000000001E-4</v>
      </c>
      <c r="BN1212" s="16"/>
      <c r="BO1212" s="31"/>
      <c r="BP1212" s="31"/>
      <c r="BQ1212" s="31"/>
      <c r="BR1212" s="31"/>
      <c r="BS1212" s="31"/>
      <c r="BT1212" s="31"/>
      <c r="BU1212" s="31"/>
      <c r="BV1212" s="31"/>
      <c r="BW1212" s="31"/>
      <c r="BX1212" s="31"/>
      <c r="BY1212" s="31"/>
      <c r="BZ1212" s="31">
        <f>4.27/100000</f>
        <v>4.2699999999999994E-5</v>
      </c>
      <c r="CA1212" s="31"/>
      <c r="CB1212" s="16"/>
      <c r="CC1212" s="16"/>
      <c r="CD1212" s="16"/>
      <c r="CE1212" s="31"/>
      <c r="CF1212" s="30"/>
      <c r="CG1212" s="30"/>
      <c r="CH1212" s="74"/>
    </row>
    <row r="1213" spans="1:86" x14ac:dyDescent="0.2">
      <c r="A1213" s="3" t="s">
        <v>37</v>
      </c>
      <c r="B1213" s="39">
        <v>1009</v>
      </c>
      <c r="C1213" s="82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1"/>
      <c r="Q1213" s="30"/>
      <c r="R1213" s="31"/>
      <c r="S1213" s="30"/>
      <c r="T1213" s="30"/>
      <c r="U1213" s="30"/>
      <c r="V1213" s="30"/>
      <c r="W1213" s="30"/>
      <c r="X1213" s="30"/>
      <c r="Y1213" s="30"/>
      <c r="Z1213" s="31"/>
      <c r="AA1213" s="30"/>
      <c r="AB1213" s="30"/>
      <c r="AC1213" s="30"/>
      <c r="AD1213" s="30"/>
      <c r="AE1213" s="31"/>
      <c r="AF1213" s="30"/>
      <c r="AG1213" s="31"/>
      <c r="AH1213" s="31"/>
      <c r="AI1213" s="30"/>
      <c r="AJ1213" s="31"/>
      <c r="AK1213" s="16"/>
      <c r="AL1213" s="16"/>
      <c r="AM1213" s="31"/>
      <c r="AN1213" s="31"/>
      <c r="AO1213" s="31"/>
      <c r="AP1213" s="31"/>
      <c r="AQ1213" s="31"/>
      <c r="AR1213" s="31"/>
      <c r="AS1213" s="31"/>
      <c r="AU1213" s="31"/>
      <c r="AV1213" s="31"/>
      <c r="AW1213" s="31"/>
      <c r="AX1213" s="31"/>
      <c r="BA1213" s="31"/>
      <c r="BB1213" s="31"/>
      <c r="BC1213" s="31"/>
      <c r="BD1213" s="31"/>
      <c r="BE1213" s="31"/>
      <c r="BF1213" s="31"/>
      <c r="BG1213" s="31"/>
      <c r="BH1213" s="31"/>
      <c r="BI1213" s="31"/>
      <c r="BJ1213" s="31"/>
      <c r="BK1213" s="16"/>
      <c r="BL1213" s="30"/>
      <c r="BM1213" s="31"/>
      <c r="BN1213" s="16"/>
      <c r="BO1213" s="31"/>
      <c r="BP1213" s="31"/>
      <c r="BQ1213" s="31"/>
      <c r="BR1213" s="31"/>
      <c r="BS1213" s="31"/>
      <c r="BT1213" s="31"/>
      <c r="BU1213" s="31"/>
      <c r="BV1213" s="31"/>
      <c r="BW1213" s="31">
        <f>4.56/100000</f>
        <v>4.5599999999999997E-5</v>
      </c>
      <c r="BX1213" s="31">
        <f>4.45/100000</f>
        <v>4.4500000000000004E-5</v>
      </c>
      <c r="BY1213" s="31">
        <f>5.24/100000</f>
        <v>5.24E-5</v>
      </c>
      <c r="BZ1213" s="31">
        <f>6.91/100000</f>
        <v>6.9099999999999999E-5</v>
      </c>
      <c r="CA1213" s="31">
        <f>6.04/100000</f>
        <v>6.0399999999999998E-5</v>
      </c>
      <c r="CB1213" s="16"/>
      <c r="CC1213" s="16"/>
      <c r="CD1213" s="16"/>
      <c r="CE1213" s="31"/>
      <c r="CF1213" s="30"/>
      <c r="CG1213" s="30"/>
      <c r="CH1213" s="74"/>
    </row>
    <row r="1214" spans="1:86" x14ac:dyDescent="0.2">
      <c r="A1214" s="3" t="s">
        <v>37</v>
      </c>
      <c r="B1214" s="39">
        <v>1010</v>
      </c>
      <c r="C1214" s="82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1"/>
      <c r="Q1214" s="30"/>
      <c r="R1214" s="31"/>
      <c r="S1214" s="30"/>
      <c r="T1214" s="30"/>
      <c r="U1214" s="30"/>
      <c r="V1214" s="30"/>
      <c r="W1214" s="30"/>
      <c r="X1214" s="30"/>
      <c r="Y1214" s="30"/>
      <c r="Z1214" s="31"/>
      <c r="AA1214" s="30"/>
      <c r="AB1214" s="30"/>
      <c r="AC1214" s="30"/>
      <c r="AD1214" s="30"/>
      <c r="AE1214" s="31"/>
      <c r="AF1214" s="30"/>
      <c r="AG1214" s="31"/>
      <c r="AH1214" s="31"/>
      <c r="AI1214" s="30"/>
      <c r="AJ1214" s="31"/>
      <c r="AK1214" s="16"/>
      <c r="AL1214" s="16"/>
      <c r="AM1214" s="31"/>
      <c r="AN1214" s="31"/>
      <c r="AO1214" s="31"/>
      <c r="AP1214" s="31"/>
      <c r="AQ1214" s="31"/>
      <c r="AR1214" s="31"/>
      <c r="AS1214" s="31"/>
      <c r="AU1214" s="31"/>
      <c r="AV1214" s="31"/>
      <c r="AW1214" s="31"/>
      <c r="AX1214" s="31"/>
      <c r="BA1214" s="31"/>
      <c r="BB1214" s="31"/>
      <c r="BC1214" s="31"/>
      <c r="BD1214" s="31"/>
      <c r="BE1214" s="31"/>
      <c r="BF1214" s="31"/>
      <c r="BG1214" s="31"/>
      <c r="BH1214" s="31"/>
      <c r="BI1214" s="31"/>
      <c r="BJ1214" s="31"/>
      <c r="BK1214" s="16"/>
      <c r="BL1214" s="30"/>
      <c r="BM1214" s="31"/>
      <c r="BN1214" s="16"/>
      <c r="BO1214" s="31"/>
      <c r="BP1214" s="31"/>
      <c r="BQ1214" s="31">
        <f>9.64/100000</f>
        <v>9.6400000000000012E-5</v>
      </c>
      <c r="BR1214" s="31"/>
      <c r="BS1214" s="31"/>
      <c r="BT1214" s="31"/>
      <c r="BU1214" s="31"/>
      <c r="BV1214" s="31"/>
      <c r="BW1214" s="31"/>
      <c r="BX1214" s="31"/>
      <c r="BY1214" s="31"/>
      <c r="BZ1214" s="31"/>
      <c r="CA1214" s="31">
        <f>4.86/100000</f>
        <v>4.8600000000000002E-5</v>
      </c>
      <c r="CB1214" s="16"/>
      <c r="CC1214" s="16"/>
      <c r="CD1214" s="16"/>
      <c r="CE1214" s="31"/>
      <c r="CF1214" s="30"/>
      <c r="CG1214" s="30"/>
      <c r="CH1214" s="74"/>
    </row>
    <row r="1215" spans="1:86" x14ac:dyDescent="0.2">
      <c r="A1215" s="3" t="s">
        <v>37</v>
      </c>
      <c r="B1215" s="39">
        <v>1011</v>
      </c>
      <c r="C1215" s="82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1"/>
      <c r="Q1215" s="30"/>
      <c r="R1215" s="31"/>
      <c r="S1215" s="30"/>
      <c r="T1215" s="30"/>
      <c r="U1215" s="30"/>
      <c r="V1215" s="30"/>
      <c r="W1215" s="30"/>
      <c r="X1215" s="30"/>
      <c r="Y1215" s="30"/>
      <c r="Z1215" s="31"/>
      <c r="AA1215" s="30"/>
      <c r="AB1215" s="30"/>
      <c r="AC1215" s="30"/>
      <c r="AD1215" s="30"/>
      <c r="AE1215" s="31"/>
      <c r="AF1215" s="30"/>
      <c r="AG1215" s="31"/>
      <c r="AH1215" s="31"/>
      <c r="AI1215" s="30"/>
      <c r="AJ1215" s="31"/>
      <c r="AK1215" s="16"/>
      <c r="AL1215" s="16"/>
      <c r="AM1215" s="31"/>
      <c r="AN1215" s="31"/>
      <c r="AO1215" s="31"/>
      <c r="AP1215" s="31"/>
      <c r="AQ1215" s="31">
        <f>9.8/100000</f>
        <v>9.800000000000001E-5</v>
      </c>
      <c r="AR1215" s="31"/>
      <c r="AS1215" s="31"/>
      <c r="AU1215" s="31"/>
      <c r="AV1215" s="31"/>
      <c r="AW1215" s="31"/>
      <c r="AX1215" s="31"/>
      <c r="BA1215" s="31"/>
      <c r="BB1215" s="31"/>
      <c r="BC1215" s="31"/>
      <c r="BD1215" s="31"/>
      <c r="BE1215" s="31"/>
      <c r="BF1215" s="31"/>
      <c r="BG1215" s="31"/>
      <c r="BH1215" s="31"/>
      <c r="BI1215" s="31"/>
      <c r="BJ1215" s="31"/>
      <c r="BK1215" s="16"/>
      <c r="BL1215" s="30"/>
      <c r="BM1215" s="31"/>
      <c r="BN1215" s="16"/>
      <c r="BO1215" s="31"/>
      <c r="BP1215" s="31"/>
      <c r="BQ1215" s="31"/>
      <c r="BR1215" s="31"/>
      <c r="BS1215" s="31"/>
      <c r="BU1215" s="31"/>
      <c r="BV1215" s="31"/>
      <c r="BW1215" s="31"/>
      <c r="BX1215" s="31"/>
      <c r="BY1215" s="31"/>
      <c r="BZ1215" s="31"/>
      <c r="CA1215" s="31">
        <f>11.8/100000</f>
        <v>1.1800000000000001E-4</v>
      </c>
      <c r="CB1215" s="16"/>
      <c r="CC1215" s="16"/>
      <c r="CD1215" s="16"/>
      <c r="CE1215" s="31"/>
      <c r="CF1215" s="30"/>
      <c r="CG1215" s="30"/>
      <c r="CH1215" s="74"/>
    </row>
    <row r="1216" spans="1:86" x14ac:dyDescent="0.2">
      <c r="A1216" s="3" t="s">
        <v>37</v>
      </c>
      <c r="B1216" s="39">
        <v>1011</v>
      </c>
      <c r="C1216" s="82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1"/>
      <c r="Q1216" s="30"/>
      <c r="R1216" s="31"/>
      <c r="S1216" s="30"/>
      <c r="T1216" s="30"/>
      <c r="U1216" s="30"/>
      <c r="V1216" s="30"/>
      <c r="W1216" s="30"/>
      <c r="X1216" s="30"/>
      <c r="Y1216" s="30"/>
      <c r="Z1216" s="31"/>
      <c r="AA1216" s="30"/>
      <c r="AB1216" s="30"/>
      <c r="AC1216" s="30"/>
      <c r="AD1216" s="30"/>
      <c r="AE1216" s="31"/>
      <c r="AF1216" s="30"/>
      <c r="AG1216" s="31"/>
      <c r="AH1216" s="31"/>
      <c r="AI1216" s="30"/>
      <c r="AJ1216" s="31"/>
      <c r="AK1216" s="16"/>
      <c r="AL1216" s="16"/>
      <c r="AM1216" s="31"/>
      <c r="AN1216" s="31"/>
      <c r="AO1216" s="31"/>
      <c r="AP1216" s="31"/>
      <c r="AQ1216" s="31">
        <f>2.7/100000</f>
        <v>2.7000000000000002E-5</v>
      </c>
      <c r="AR1216" s="31"/>
      <c r="AS1216" s="31"/>
      <c r="AU1216" s="31"/>
      <c r="AV1216" s="31"/>
      <c r="AW1216" s="31"/>
      <c r="AX1216" s="31"/>
      <c r="BA1216" s="31"/>
      <c r="BB1216" s="31"/>
      <c r="BC1216" s="31"/>
      <c r="BD1216" s="31"/>
      <c r="BE1216" s="31"/>
      <c r="BF1216" s="31"/>
      <c r="BG1216" s="31"/>
      <c r="BH1216" s="31"/>
      <c r="BI1216" s="31"/>
      <c r="BJ1216" s="31"/>
      <c r="BK1216" s="16"/>
      <c r="BL1216" s="30"/>
      <c r="BM1216" s="31"/>
      <c r="BN1216" s="16"/>
      <c r="BO1216" s="31"/>
      <c r="BP1216" s="31"/>
      <c r="BQ1216" s="31"/>
      <c r="BR1216" s="31"/>
      <c r="BS1216" s="31"/>
      <c r="BU1216" s="31"/>
      <c r="BV1216" s="31"/>
      <c r="BW1216" s="31"/>
      <c r="BX1216" s="31"/>
      <c r="BY1216" s="31"/>
      <c r="BZ1216" s="31"/>
      <c r="CA1216" s="31">
        <f>3.7/100000</f>
        <v>3.7000000000000005E-5</v>
      </c>
      <c r="CB1216" s="16"/>
      <c r="CC1216" s="16"/>
      <c r="CD1216" s="16"/>
      <c r="CE1216" s="31"/>
      <c r="CF1216" s="30"/>
      <c r="CG1216" s="30"/>
      <c r="CH1216" s="74"/>
    </row>
    <row r="1217" spans="1:86" x14ac:dyDescent="0.2">
      <c r="A1217" s="3" t="s">
        <v>37</v>
      </c>
      <c r="B1217" s="39">
        <v>1012</v>
      </c>
      <c r="C1217" s="82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1"/>
      <c r="Q1217" s="30"/>
      <c r="R1217" s="31"/>
      <c r="S1217" s="30"/>
      <c r="T1217" s="30"/>
      <c r="U1217" s="30"/>
      <c r="V1217" s="30"/>
      <c r="W1217" s="30"/>
      <c r="X1217" s="30"/>
      <c r="Y1217" s="30"/>
      <c r="Z1217" s="31"/>
      <c r="AA1217" s="30"/>
      <c r="AB1217" s="30"/>
      <c r="AC1217" s="30"/>
      <c r="AD1217" s="30"/>
      <c r="AE1217" s="31"/>
      <c r="AF1217" s="30"/>
      <c r="AG1217" s="31"/>
      <c r="AH1217" s="31"/>
      <c r="AI1217" s="30"/>
      <c r="AJ1217" s="31"/>
      <c r="AK1217" s="16"/>
      <c r="AL1217" s="16"/>
      <c r="AM1217" s="31"/>
      <c r="AN1217" s="31"/>
      <c r="AO1217" s="31"/>
      <c r="AP1217" s="31"/>
      <c r="AQ1217" s="31"/>
      <c r="AR1217" s="31"/>
      <c r="AS1217" s="31"/>
      <c r="AU1217" s="31"/>
      <c r="AV1217" s="31"/>
      <c r="AW1217" s="31"/>
      <c r="AX1217" s="31"/>
      <c r="BA1217" s="31"/>
      <c r="BB1217" s="31"/>
      <c r="BC1217" s="31"/>
      <c r="BD1217" s="31"/>
      <c r="BE1217" s="31"/>
      <c r="BF1217" s="31"/>
      <c r="BG1217" s="31">
        <f>5.1/100000</f>
        <v>5.1E-5</v>
      </c>
      <c r="BH1217" s="31"/>
      <c r="BI1217" s="31"/>
      <c r="BJ1217" s="31"/>
      <c r="BK1217" s="16"/>
      <c r="BL1217" s="30"/>
      <c r="BM1217" s="31"/>
      <c r="BN1217" s="16"/>
      <c r="BO1217" s="31"/>
      <c r="BP1217" s="31"/>
      <c r="BQ1217" s="31"/>
      <c r="BR1217" s="31"/>
      <c r="BS1217" s="31"/>
      <c r="BU1217" s="31"/>
      <c r="BV1217" s="31"/>
      <c r="BW1217" s="31"/>
      <c r="BX1217" s="31"/>
      <c r="BY1217" s="31"/>
      <c r="BZ1217" s="31">
        <f>3.9/100000</f>
        <v>3.8999999999999999E-5</v>
      </c>
      <c r="CA1217" s="31"/>
      <c r="CB1217" s="16"/>
      <c r="CC1217" s="16"/>
      <c r="CD1217" s="16"/>
      <c r="CE1217" s="31"/>
      <c r="CF1217" s="30"/>
      <c r="CG1217" s="30"/>
      <c r="CH1217" s="74"/>
    </row>
    <row r="1218" spans="1:86" x14ac:dyDescent="0.2">
      <c r="A1218" s="3" t="s">
        <v>37</v>
      </c>
      <c r="B1218" s="39">
        <v>1013</v>
      </c>
      <c r="C1218" s="82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1"/>
      <c r="Q1218" s="30"/>
      <c r="R1218" s="31"/>
      <c r="S1218" s="30"/>
      <c r="T1218" s="30"/>
      <c r="U1218" s="30"/>
      <c r="V1218" s="30"/>
      <c r="W1218" s="30"/>
      <c r="X1218" s="30"/>
      <c r="Y1218" s="30"/>
      <c r="Z1218" s="31"/>
      <c r="AA1218" s="30"/>
      <c r="AB1218" s="30"/>
      <c r="AC1218" s="30"/>
      <c r="AD1218" s="30"/>
      <c r="AE1218" s="31"/>
      <c r="AF1218" s="30"/>
      <c r="AG1218" s="31"/>
      <c r="AH1218" s="31"/>
      <c r="AI1218" s="30"/>
      <c r="AJ1218" s="31"/>
      <c r="AK1218" s="16"/>
      <c r="AL1218" s="16"/>
      <c r="AM1218" s="31"/>
      <c r="AN1218" s="31"/>
      <c r="AO1218" s="31"/>
      <c r="AP1218" s="31"/>
      <c r="AQ1218" s="31"/>
      <c r="AR1218" s="31"/>
      <c r="AS1218" s="31"/>
      <c r="AU1218" s="31"/>
      <c r="AV1218" s="31"/>
      <c r="AW1218" s="31"/>
      <c r="AX1218" s="31"/>
      <c r="BA1218" s="31"/>
      <c r="BB1218" s="31"/>
      <c r="BC1218" s="31"/>
      <c r="BD1218" s="31"/>
      <c r="BE1218" s="31"/>
      <c r="BF1218" s="31"/>
      <c r="BG1218" s="31"/>
      <c r="BH1218" s="31"/>
      <c r="BI1218" s="31"/>
      <c r="BJ1218" s="31"/>
      <c r="BK1218" s="16"/>
      <c r="BL1218" s="30"/>
      <c r="BM1218" s="31"/>
      <c r="BN1218" s="16"/>
      <c r="BO1218" s="31"/>
      <c r="BP1218" s="31"/>
      <c r="BQ1218" s="31"/>
      <c r="BR1218" s="31"/>
      <c r="BS1218" s="31">
        <f>3.7/100000</f>
        <v>3.7000000000000005E-5</v>
      </c>
      <c r="BU1218" s="31"/>
      <c r="BV1218" s="31"/>
      <c r="BW1218" s="31"/>
      <c r="BX1218" s="31"/>
      <c r="BY1218" s="31">
        <f>4.37/100000</f>
        <v>4.3699999999999998E-5</v>
      </c>
      <c r="BZ1218" s="31"/>
      <c r="CA1218" s="31"/>
      <c r="CB1218" s="16"/>
      <c r="CC1218" s="16"/>
      <c r="CD1218" s="16"/>
      <c r="CE1218" s="31"/>
      <c r="CF1218" s="30"/>
      <c r="CG1218" s="30"/>
      <c r="CH1218" s="74"/>
    </row>
    <row r="1219" spans="1:86" x14ac:dyDescent="0.2">
      <c r="A1219" s="3" t="s">
        <v>37</v>
      </c>
      <c r="B1219" s="39">
        <v>1014</v>
      </c>
      <c r="C1219" s="82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1"/>
      <c r="Q1219" s="30"/>
      <c r="R1219" s="31"/>
      <c r="S1219" s="30"/>
      <c r="T1219" s="30"/>
      <c r="U1219" s="30"/>
      <c r="V1219" s="30"/>
      <c r="W1219" s="30"/>
      <c r="X1219" s="30"/>
      <c r="Y1219" s="30"/>
      <c r="Z1219" s="31"/>
      <c r="AA1219" s="30"/>
      <c r="AB1219" s="30"/>
      <c r="AC1219" s="30"/>
      <c r="AD1219" s="30"/>
      <c r="AE1219" s="31"/>
      <c r="AF1219" s="30"/>
      <c r="AG1219" s="31"/>
      <c r="AH1219" s="31"/>
      <c r="AI1219" s="30"/>
      <c r="AJ1219" s="31"/>
      <c r="AK1219" s="16"/>
      <c r="AL1219" s="16"/>
      <c r="AM1219" s="31"/>
      <c r="AN1219" s="31"/>
      <c r="AO1219" s="31"/>
      <c r="AP1219" s="31"/>
      <c r="AQ1219" s="31"/>
      <c r="AR1219" s="31"/>
      <c r="AS1219" s="31"/>
      <c r="AU1219" s="31"/>
      <c r="AV1219" s="31"/>
      <c r="AW1219" s="31"/>
      <c r="AX1219" s="31"/>
      <c r="BA1219" s="31"/>
      <c r="BB1219" s="31"/>
      <c r="BC1219" s="31"/>
      <c r="BD1219" s="31"/>
      <c r="BE1219" s="31"/>
      <c r="BF1219" s="31"/>
      <c r="BG1219" s="31"/>
      <c r="BH1219" s="31"/>
      <c r="BI1219" s="31"/>
      <c r="BJ1219" s="31"/>
      <c r="BK1219" s="16"/>
      <c r="BL1219" s="30"/>
      <c r="BM1219" s="31"/>
      <c r="BN1219" s="16"/>
      <c r="BO1219" s="31"/>
      <c r="BP1219" s="31"/>
      <c r="BQ1219" s="31"/>
      <c r="BR1219" s="31"/>
      <c r="BS1219" s="31"/>
      <c r="BT1219" s="31">
        <f>13.39/100000</f>
        <v>1.339E-4</v>
      </c>
      <c r="BU1219" s="31">
        <f>14.36/100000</f>
        <v>1.4359999999999999E-4</v>
      </c>
      <c r="BV1219" s="31">
        <f>13.31/100000</f>
        <v>1.3310000000000001E-4</v>
      </c>
      <c r="BW1219" s="31">
        <f>17.45/100000</f>
        <v>1.7449999999999999E-4</v>
      </c>
      <c r="BX1219" s="31">
        <f>14.57/100000</f>
        <v>1.4569999999999999E-4</v>
      </c>
      <c r="BY1219" s="31">
        <f>15.62/100000</f>
        <v>1.562E-4</v>
      </c>
      <c r="BZ1219" s="31">
        <f>16.23/100000</f>
        <v>1.6230000000000001E-4</v>
      </c>
      <c r="CA1219" s="31">
        <f>17.83/100000</f>
        <v>1.7829999999999997E-4</v>
      </c>
      <c r="CB1219" s="31">
        <f>18.7/100000</f>
        <v>1.8699999999999999E-4</v>
      </c>
      <c r="CC1219" s="31">
        <f>19.2/100000</f>
        <v>1.92E-4</v>
      </c>
      <c r="CD1219" s="16"/>
      <c r="CE1219" s="31"/>
      <c r="CF1219" s="30"/>
      <c r="CG1219" s="30"/>
      <c r="CH1219" s="74"/>
    </row>
    <row r="1220" spans="1:86" x14ac:dyDescent="0.2">
      <c r="A1220" s="3" t="s">
        <v>37</v>
      </c>
      <c r="B1220" s="39">
        <v>1015</v>
      </c>
      <c r="C1220" s="82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1"/>
      <c r="Q1220" s="30"/>
      <c r="R1220" s="31"/>
      <c r="S1220" s="30"/>
      <c r="T1220" s="30"/>
      <c r="U1220" s="30"/>
      <c r="V1220" s="30"/>
      <c r="W1220" s="30"/>
      <c r="X1220" s="30"/>
      <c r="Y1220" s="30"/>
      <c r="Z1220" s="31"/>
      <c r="AA1220" s="30"/>
      <c r="AB1220" s="30"/>
      <c r="AC1220" s="30"/>
      <c r="AD1220" s="30"/>
      <c r="AE1220" s="31"/>
      <c r="AF1220" s="30"/>
      <c r="AG1220" s="31"/>
      <c r="AH1220" s="31"/>
      <c r="AI1220" s="30"/>
      <c r="AJ1220" s="31"/>
      <c r="AK1220" s="16"/>
      <c r="AL1220" s="16"/>
      <c r="AM1220" s="31"/>
      <c r="AN1220" s="31"/>
      <c r="AO1220" s="31"/>
      <c r="AP1220" s="31"/>
      <c r="AQ1220" s="31"/>
      <c r="AR1220" s="31">
        <f>15/100000</f>
        <v>1.4999999999999999E-4</v>
      </c>
      <c r="AS1220" s="31"/>
      <c r="AU1220" s="31"/>
      <c r="AV1220" s="31"/>
      <c r="AW1220" s="31"/>
      <c r="AX1220" s="31"/>
      <c r="BA1220" s="31"/>
      <c r="BB1220" s="31"/>
      <c r="BC1220" s="31"/>
      <c r="BD1220" s="31"/>
      <c r="BE1220" s="31"/>
      <c r="BF1220" s="31"/>
      <c r="BG1220" s="31"/>
      <c r="BH1220" s="31"/>
      <c r="BI1220" s="31"/>
      <c r="BJ1220" s="31"/>
      <c r="BK1220" s="16"/>
      <c r="BL1220" s="30"/>
      <c r="BM1220" s="31"/>
      <c r="BN1220" s="16"/>
      <c r="BO1220" s="31"/>
      <c r="BP1220" s="31"/>
      <c r="BQ1220" s="31"/>
      <c r="BR1220" s="31"/>
      <c r="BS1220" s="31"/>
      <c r="BT1220" s="31"/>
      <c r="BU1220" s="31"/>
      <c r="BV1220" s="31"/>
      <c r="BW1220" s="31"/>
      <c r="BX1220" s="31"/>
      <c r="BY1220" s="31"/>
      <c r="BZ1220" s="31"/>
      <c r="CA1220" s="31"/>
      <c r="CB1220" s="31">
        <f>11.4/100000</f>
        <v>1.1400000000000001E-4</v>
      </c>
      <c r="CC1220" s="31"/>
      <c r="CD1220" s="16"/>
      <c r="CE1220" s="31"/>
      <c r="CF1220" s="30"/>
      <c r="CG1220" s="30"/>
      <c r="CH1220" s="74"/>
    </row>
    <row r="1221" spans="1:86" x14ac:dyDescent="0.2">
      <c r="A1221" s="3" t="s">
        <v>37</v>
      </c>
      <c r="B1221" s="39">
        <v>1016</v>
      </c>
      <c r="C1221" s="82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1"/>
      <c r="Q1221" s="30"/>
      <c r="R1221" s="31"/>
      <c r="S1221" s="30"/>
      <c r="T1221" s="30"/>
      <c r="U1221" s="30"/>
      <c r="V1221" s="30"/>
      <c r="W1221" s="30"/>
      <c r="X1221" s="30"/>
      <c r="Y1221" s="30"/>
      <c r="Z1221" s="31"/>
      <c r="AA1221" s="30"/>
      <c r="AB1221" s="30"/>
      <c r="AC1221" s="30"/>
      <c r="AD1221" s="30"/>
      <c r="AE1221" s="31"/>
      <c r="AF1221" s="30"/>
      <c r="AG1221" s="31"/>
      <c r="AH1221" s="31"/>
      <c r="AI1221" s="30"/>
      <c r="AJ1221" s="31"/>
      <c r="AK1221" s="16"/>
      <c r="AL1221" s="16"/>
      <c r="AM1221" s="31"/>
      <c r="AN1221" s="31"/>
      <c r="AO1221" s="31"/>
      <c r="AP1221" s="31"/>
      <c r="AQ1221" s="31"/>
      <c r="AR1221" s="31"/>
      <c r="AS1221" s="31"/>
      <c r="AU1221" s="31"/>
      <c r="AV1221" s="31"/>
      <c r="AW1221" s="31"/>
      <c r="AX1221" s="31"/>
      <c r="BA1221" s="31"/>
      <c r="BB1221" s="31"/>
      <c r="BC1221" s="31"/>
      <c r="BD1221" s="31"/>
      <c r="BE1221" s="31"/>
      <c r="BF1221" s="31"/>
      <c r="BG1221" s="31"/>
      <c r="BH1221" s="31"/>
      <c r="BI1221" s="31"/>
      <c r="BJ1221" s="31"/>
      <c r="BK1221" s="16"/>
      <c r="BL1221" s="30"/>
      <c r="BM1221" s="31"/>
      <c r="BN1221" s="16"/>
      <c r="BO1221" s="31"/>
      <c r="BP1221" s="31"/>
      <c r="BQ1221" s="31"/>
      <c r="BR1221" s="31"/>
      <c r="BS1221" s="31"/>
      <c r="BT1221" s="31"/>
      <c r="BU1221" s="31"/>
      <c r="BV1221" s="31"/>
      <c r="BW1221" s="31"/>
      <c r="BX1221" s="31"/>
      <c r="BY1221" s="31"/>
      <c r="BZ1221" s="31"/>
      <c r="CA1221" s="31"/>
      <c r="CB1221" s="31"/>
      <c r="CC1221" s="31">
        <f>14.2/100000</f>
        <v>1.4199999999999998E-4</v>
      </c>
      <c r="CD1221" s="31">
        <f>13.9/100000</f>
        <v>1.3899999999999999E-4</v>
      </c>
      <c r="CE1221" s="31"/>
      <c r="CF1221" s="30"/>
      <c r="CG1221" s="30"/>
      <c r="CH1221" s="74"/>
    </row>
    <row r="1222" spans="1:86" x14ac:dyDescent="0.2">
      <c r="A1222" s="3" t="s">
        <v>37</v>
      </c>
      <c r="B1222" s="39">
        <v>1017</v>
      </c>
      <c r="C1222" s="82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1"/>
      <c r="Q1222" s="30"/>
      <c r="R1222" s="31"/>
      <c r="S1222" s="30"/>
      <c r="T1222" s="30"/>
      <c r="U1222" s="30"/>
      <c r="V1222" s="30"/>
      <c r="W1222" s="30"/>
      <c r="X1222" s="30"/>
      <c r="Y1222" s="30"/>
      <c r="Z1222" s="31"/>
      <c r="AA1222" s="30"/>
      <c r="AB1222" s="30"/>
      <c r="AC1222" s="30"/>
      <c r="AD1222" s="30"/>
      <c r="AE1222" s="31"/>
      <c r="AF1222" s="30"/>
      <c r="AG1222" s="31"/>
      <c r="AH1222" s="31"/>
      <c r="AI1222" s="30"/>
      <c r="AJ1222" s="31"/>
      <c r="AK1222" s="16"/>
      <c r="AL1222" s="16"/>
      <c r="AM1222" s="31"/>
      <c r="AN1222" s="31"/>
      <c r="AO1222" s="31"/>
      <c r="AP1222" s="31"/>
      <c r="AQ1222" s="31"/>
      <c r="AR1222" s="31">
        <f>4.6/100000</f>
        <v>4.5999999999999993E-5</v>
      </c>
      <c r="AS1222" s="31"/>
      <c r="AU1222" s="31"/>
      <c r="AV1222" s="31"/>
      <c r="AW1222" s="31"/>
      <c r="AX1222" s="31"/>
      <c r="BA1222" s="31"/>
      <c r="BB1222" s="31"/>
      <c r="BC1222" s="31"/>
      <c r="BD1222" s="31"/>
      <c r="BE1222" s="31"/>
      <c r="BF1222" s="31"/>
      <c r="BG1222" s="31"/>
      <c r="BH1222" s="31"/>
      <c r="BI1222" s="31"/>
      <c r="BJ1222" s="31"/>
      <c r="BK1222" s="16"/>
      <c r="BL1222" s="30"/>
      <c r="BM1222" s="31"/>
      <c r="BN1222" s="16"/>
      <c r="BO1222" s="31"/>
      <c r="BP1222" s="31"/>
      <c r="BQ1222" s="31"/>
      <c r="BR1222" s="31"/>
      <c r="BS1222" s="31"/>
      <c r="BT1222" s="31"/>
      <c r="BU1222" s="31"/>
      <c r="BV1222" s="31"/>
      <c r="BW1222" s="31"/>
      <c r="BX1222" s="31"/>
      <c r="BY1222" s="31"/>
      <c r="BZ1222" s="31"/>
      <c r="CA1222" s="31"/>
      <c r="CB1222" s="31"/>
      <c r="CC1222" s="31">
        <f>15.4/100000</f>
        <v>1.54E-4</v>
      </c>
      <c r="CD1222" s="31"/>
      <c r="CE1222" s="31"/>
      <c r="CF1222" s="30"/>
      <c r="CG1222" s="30"/>
      <c r="CH1222" s="74"/>
    </row>
    <row r="1223" spans="1:86" x14ac:dyDescent="0.2">
      <c r="A1223" s="3" t="s">
        <v>37</v>
      </c>
      <c r="B1223" s="39">
        <v>1018</v>
      </c>
      <c r="C1223" s="82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1"/>
      <c r="Q1223" s="30"/>
      <c r="R1223" s="31"/>
      <c r="S1223" s="30"/>
      <c r="T1223" s="30"/>
      <c r="U1223" s="30"/>
      <c r="V1223" s="30"/>
      <c r="W1223" s="30"/>
      <c r="X1223" s="30"/>
      <c r="Y1223" s="30"/>
      <c r="Z1223" s="31"/>
      <c r="AA1223" s="30"/>
      <c r="AB1223" s="30"/>
      <c r="AC1223" s="30"/>
      <c r="AD1223" s="30"/>
      <c r="AE1223" s="31"/>
      <c r="AF1223" s="30"/>
      <c r="AG1223" s="31"/>
      <c r="AH1223" s="31"/>
      <c r="AI1223" s="30"/>
      <c r="AJ1223" s="31"/>
      <c r="AK1223" s="16"/>
      <c r="AL1223" s="16"/>
      <c r="AM1223" s="31"/>
      <c r="AN1223" s="31"/>
      <c r="AO1223" s="31"/>
      <c r="AP1223" s="31"/>
      <c r="AQ1223" s="31"/>
      <c r="AR1223" s="31">
        <f>5.1/100000</f>
        <v>5.1E-5</v>
      </c>
      <c r="AS1223" s="31"/>
      <c r="AU1223" s="31"/>
      <c r="AV1223" s="31"/>
      <c r="AW1223" s="31">
        <f>4.5/100000</f>
        <v>4.5000000000000003E-5</v>
      </c>
      <c r="AX1223" s="31"/>
      <c r="BA1223" s="31"/>
      <c r="BB1223" s="31"/>
      <c r="BC1223" s="31"/>
      <c r="BD1223" s="31"/>
      <c r="BE1223" s="31"/>
      <c r="BF1223" s="31"/>
      <c r="BG1223" s="31"/>
      <c r="BH1223" s="31">
        <f>7/100000</f>
        <v>6.9999999999999994E-5</v>
      </c>
      <c r="BI1223" s="31"/>
      <c r="BJ1223" s="31"/>
      <c r="BK1223" s="16"/>
      <c r="BL1223" s="30"/>
      <c r="BM1223" s="31"/>
      <c r="BN1223" s="16"/>
      <c r="BO1223" s="31"/>
      <c r="BP1223" s="31"/>
      <c r="BQ1223" s="31">
        <f>4.7/100000</f>
        <v>4.7000000000000004E-5</v>
      </c>
      <c r="BR1223" s="31"/>
      <c r="BS1223" s="31"/>
      <c r="BT1223" s="31"/>
      <c r="BU1223" s="31"/>
      <c r="BV1223" s="31"/>
      <c r="BW1223" s="31"/>
      <c r="BX1223" s="31"/>
      <c r="BY1223" s="31"/>
      <c r="BZ1223" s="31"/>
      <c r="CA1223" s="31">
        <f>4.2/100000</f>
        <v>4.2000000000000004E-5</v>
      </c>
      <c r="CB1223" s="31"/>
      <c r="CC1223" s="31"/>
      <c r="CD1223" s="31"/>
      <c r="CE1223" s="31"/>
      <c r="CF1223" s="30"/>
      <c r="CG1223" s="30"/>
      <c r="CH1223" s="74"/>
    </row>
    <row r="1224" spans="1:86" x14ac:dyDescent="0.2">
      <c r="A1224" s="3" t="s">
        <v>37</v>
      </c>
      <c r="B1224" s="39">
        <v>1018</v>
      </c>
      <c r="C1224" s="82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1"/>
      <c r="Q1224" s="30"/>
      <c r="R1224" s="31"/>
      <c r="S1224" s="30"/>
      <c r="T1224" s="30"/>
      <c r="U1224" s="30"/>
      <c r="V1224" s="30"/>
      <c r="W1224" s="30"/>
      <c r="X1224" s="30"/>
      <c r="Y1224" s="30"/>
      <c r="Z1224" s="31"/>
      <c r="AA1224" s="30"/>
      <c r="AB1224" s="30"/>
      <c r="AC1224" s="30"/>
      <c r="AD1224" s="30"/>
      <c r="AE1224" s="31"/>
      <c r="AF1224" s="30"/>
      <c r="AG1224" s="31"/>
      <c r="AH1224" s="31"/>
      <c r="AI1224" s="30"/>
      <c r="AJ1224" s="31"/>
      <c r="AK1224" s="16"/>
      <c r="AL1224" s="16"/>
      <c r="AM1224" s="31"/>
      <c r="AN1224" s="31"/>
      <c r="AO1224" s="31"/>
      <c r="AP1224" s="31"/>
      <c r="AQ1224" s="31"/>
      <c r="AR1224" s="31">
        <f>1.8/100000</f>
        <v>1.8E-5</v>
      </c>
      <c r="AS1224" s="31"/>
      <c r="AU1224" s="31"/>
      <c r="AV1224" s="31"/>
      <c r="AW1224" s="31"/>
      <c r="AX1224" s="31"/>
      <c r="BA1224" s="31"/>
      <c r="BB1224" s="31"/>
      <c r="BC1224" s="31"/>
      <c r="BD1224" s="31"/>
      <c r="BE1224" s="31"/>
      <c r="BF1224" s="31"/>
      <c r="BG1224" s="31"/>
      <c r="BH1224" s="31"/>
      <c r="BI1224" s="31"/>
      <c r="BJ1224" s="31"/>
      <c r="BK1224" s="16"/>
      <c r="BL1224" s="30"/>
      <c r="BM1224" s="31"/>
      <c r="BN1224" s="16"/>
      <c r="BO1224" s="31"/>
      <c r="BP1224" s="31"/>
      <c r="BQ1224" s="31"/>
      <c r="BR1224" s="31"/>
      <c r="BS1224" s="31"/>
      <c r="BT1224" s="31"/>
      <c r="BU1224" s="31"/>
      <c r="BV1224" s="31"/>
      <c r="BW1224" s="31"/>
      <c r="BX1224" s="31"/>
      <c r="BY1224" s="31"/>
      <c r="BZ1224" s="31"/>
      <c r="CA1224" s="31">
        <f>1/100000</f>
        <v>1.0000000000000001E-5</v>
      </c>
      <c r="CB1224" s="31"/>
      <c r="CC1224" s="31"/>
      <c r="CD1224" s="31"/>
      <c r="CE1224" s="31"/>
      <c r="CF1224" s="30"/>
      <c r="CG1224" s="30"/>
      <c r="CH1224" s="74"/>
    </row>
    <row r="1225" spans="1:86" x14ac:dyDescent="0.2">
      <c r="A1225" s="3" t="s">
        <v>37</v>
      </c>
      <c r="B1225" s="39">
        <v>1019</v>
      </c>
      <c r="C1225" s="82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1"/>
      <c r="Q1225" s="30"/>
      <c r="R1225" s="31"/>
      <c r="S1225" s="30"/>
      <c r="T1225" s="30"/>
      <c r="U1225" s="30"/>
      <c r="V1225" s="30"/>
      <c r="W1225" s="30"/>
      <c r="X1225" s="30"/>
      <c r="Y1225" s="30"/>
      <c r="Z1225" s="31"/>
      <c r="AA1225" s="30"/>
      <c r="AB1225" s="30"/>
      <c r="AC1225" s="30"/>
      <c r="AD1225" s="30"/>
      <c r="AE1225" s="31"/>
      <c r="AF1225" s="30"/>
      <c r="AG1225" s="31"/>
      <c r="AH1225" s="31"/>
      <c r="AI1225" s="30"/>
      <c r="AJ1225" s="31"/>
      <c r="AK1225" s="16"/>
      <c r="AL1225" s="16"/>
      <c r="AM1225" s="31"/>
      <c r="AN1225" s="31"/>
      <c r="AO1225" s="31"/>
      <c r="AP1225" s="31">
        <f>9.5/100000</f>
        <v>9.5000000000000005E-5</v>
      </c>
      <c r="AQ1225" s="31"/>
      <c r="AR1225" s="31"/>
      <c r="AS1225" s="31"/>
      <c r="AU1225" s="31"/>
      <c r="AV1225" s="31"/>
      <c r="AW1225" s="31"/>
      <c r="AX1225" s="31"/>
      <c r="BA1225" s="31">
        <f>3.7/100000</f>
        <v>3.7000000000000005E-5</v>
      </c>
      <c r="BB1225" s="31"/>
      <c r="BC1225" s="31"/>
      <c r="BD1225" s="31"/>
      <c r="BE1225" s="31"/>
      <c r="BF1225" s="31"/>
      <c r="BG1225" s="31"/>
      <c r="BH1225" s="31">
        <f>7.5/100000</f>
        <v>7.4999999999999993E-5</v>
      </c>
      <c r="BI1225" s="31"/>
      <c r="BJ1225" s="31"/>
      <c r="BK1225" s="16"/>
      <c r="BL1225" s="30"/>
      <c r="BM1225" s="31"/>
      <c r="BN1225" s="31">
        <f>5.5/100000</f>
        <v>5.5000000000000002E-5</v>
      </c>
      <c r="BO1225" s="31"/>
      <c r="BP1225" s="31"/>
      <c r="BQ1225" s="31"/>
      <c r="BR1225" s="31"/>
      <c r="BS1225" s="31"/>
      <c r="BT1225" s="31"/>
      <c r="BU1225" s="31"/>
      <c r="BW1225" s="31"/>
      <c r="BX1225" s="31"/>
      <c r="BY1225" s="31"/>
      <c r="BZ1225" s="31"/>
      <c r="CA1225" s="31">
        <f>7/100000</f>
        <v>6.9999999999999994E-5</v>
      </c>
      <c r="CB1225" s="31"/>
      <c r="CC1225" s="31"/>
      <c r="CD1225" s="31"/>
      <c r="CE1225" s="31"/>
      <c r="CF1225" s="30"/>
      <c r="CG1225" s="30"/>
      <c r="CH1225" s="74"/>
    </row>
    <row r="1226" spans="1:86" x14ac:dyDescent="0.2">
      <c r="A1226" s="3" t="s">
        <v>37</v>
      </c>
      <c r="B1226" s="39">
        <v>1019</v>
      </c>
      <c r="C1226" s="82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1"/>
      <c r="Q1226" s="30"/>
      <c r="R1226" s="31"/>
      <c r="S1226" s="30"/>
      <c r="T1226" s="30"/>
      <c r="U1226" s="30"/>
      <c r="V1226" s="30"/>
      <c r="W1226" s="30"/>
      <c r="X1226" s="30"/>
      <c r="Y1226" s="30"/>
      <c r="Z1226" s="31"/>
      <c r="AA1226" s="30"/>
      <c r="AB1226" s="30"/>
      <c r="AC1226" s="30"/>
      <c r="AD1226" s="30"/>
      <c r="AE1226" s="31"/>
      <c r="AF1226" s="30"/>
      <c r="AG1226" s="31"/>
      <c r="AH1226" s="31"/>
      <c r="AI1226" s="30"/>
      <c r="AJ1226" s="31"/>
      <c r="AK1226" s="16"/>
      <c r="AL1226" s="16"/>
      <c r="AM1226" s="31"/>
      <c r="AN1226" s="31"/>
      <c r="AO1226" s="31"/>
      <c r="AP1226" s="31">
        <f>4.2/100000</f>
        <v>4.2000000000000004E-5</v>
      </c>
      <c r="AQ1226" s="31"/>
      <c r="AR1226" s="31"/>
      <c r="AS1226" s="31"/>
      <c r="AU1226" s="31"/>
      <c r="AV1226" s="31"/>
      <c r="AW1226" s="31"/>
      <c r="AX1226" s="31"/>
      <c r="BA1226" s="31">
        <f>2/100000</f>
        <v>2.0000000000000002E-5</v>
      </c>
      <c r="BB1226" s="31"/>
      <c r="BC1226" s="31"/>
      <c r="BD1226" s="31"/>
      <c r="BE1226" s="31"/>
      <c r="BF1226" s="31"/>
      <c r="BG1226" s="31"/>
      <c r="BH1226" s="31">
        <f>3.7/100000</f>
        <v>3.7000000000000005E-5</v>
      </c>
      <c r="BI1226" s="31"/>
      <c r="BJ1226" s="31"/>
      <c r="BK1226" s="16"/>
      <c r="BL1226" s="30"/>
      <c r="BM1226" s="31"/>
      <c r="BN1226" s="31">
        <f>2.2/100000</f>
        <v>2.2000000000000003E-5</v>
      </c>
      <c r="BO1226" s="31"/>
      <c r="BP1226" s="31"/>
      <c r="BQ1226" s="31"/>
      <c r="BR1226" s="31"/>
      <c r="BS1226" s="31"/>
      <c r="BT1226" s="31"/>
      <c r="BU1226" s="31"/>
      <c r="BW1226" s="31"/>
      <c r="BX1226" s="31"/>
      <c r="BY1226" s="31"/>
      <c r="BZ1226" s="31"/>
      <c r="CA1226" s="31">
        <f>3.7/100000</f>
        <v>3.7000000000000005E-5</v>
      </c>
      <c r="CB1226" s="31"/>
      <c r="CC1226" s="31"/>
      <c r="CD1226" s="31"/>
      <c r="CE1226" s="31"/>
      <c r="CF1226" s="30"/>
      <c r="CG1226" s="30"/>
      <c r="CH1226" s="74"/>
    </row>
    <row r="1227" spans="1:86" x14ac:dyDescent="0.2">
      <c r="A1227" s="3" t="s">
        <v>37</v>
      </c>
      <c r="B1227" s="39">
        <v>1020</v>
      </c>
      <c r="C1227" s="82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1"/>
      <c r="Q1227" s="30"/>
      <c r="R1227" s="31"/>
      <c r="S1227" s="30"/>
      <c r="T1227" s="30"/>
      <c r="U1227" s="30"/>
      <c r="V1227" s="30"/>
      <c r="W1227" s="30"/>
      <c r="X1227" s="30"/>
      <c r="Y1227" s="30"/>
      <c r="Z1227" s="31"/>
      <c r="AA1227" s="30"/>
      <c r="AB1227" s="30"/>
      <c r="AC1227" s="30"/>
      <c r="AD1227" s="30"/>
      <c r="AE1227" s="31"/>
      <c r="AF1227" s="30"/>
      <c r="AG1227" s="31"/>
      <c r="AH1227" s="31"/>
      <c r="AI1227" s="30"/>
      <c r="AJ1227" s="31"/>
      <c r="AK1227" s="16"/>
      <c r="AL1227" s="16"/>
      <c r="AM1227" s="31"/>
      <c r="AN1227" s="31"/>
      <c r="AO1227" s="31"/>
      <c r="AP1227" s="31"/>
      <c r="AQ1227" s="31"/>
      <c r="AR1227" s="31"/>
      <c r="AS1227" s="31"/>
      <c r="AU1227" s="31"/>
      <c r="AV1227" s="31"/>
      <c r="AW1227" s="31"/>
      <c r="AX1227" s="31"/>
      <c r="BA1227" s="31"/>
      <c r="BB1227" s="31"/>
      <c r="BC1227" s="31"/>
      <c r="BD1227" s="31"/>
      <c r="BE1227" s="31"/>
      <c r="BF1227" s="31"/>
      <c r="BG1227" s="31"/>
      <c r="BH1227" s="31"/>
      <c r="BI1227" s="31"/>
      <c r="BJ1227" s="31"/>
      <c r="BK1227" s="16"/>
      <c r="BL1227" s="30"/>
      <c r="BM1227" s="31"/>
      <c r="BN1227" s="31"/>
      <c r="BO1227" s="31">
        <f>19.6/100000</f>
        <v>1.9600000000000002E-4</v>
      </c>
      <c r="BP1227" s="31"/>
      <c r="BQ1227" s="31"/>
      <c r="BR1227" s="31"/>
      <c r="BS1227" s="31"/>
      <c r="BT1227" s="31">
        <f>20.1/100000</f>
        <v>2.0100000000000001E-4</v>
      </c>
      <c r="BU1227" s="31"/>
      <c r="BW1227" s="31"/>
      <c r="BX1227" s="31"/>
      <c r="BY1227" s="31">
        <f>18.2/100000</f>
        <v>1.8200000000000001E-4</v>
      </c>
      <c r="BZ1227" s="31"/>
      <c r="CA1227" s="31"/>
      <c r="CB1227" s="31"/>
      <c r="CC1227" s="31"/>
      <c r="CD1227" s="31"/>
      <c r="CE1227" s="31"/>
      <c r="CF1227" s="30"/>
      <c r="CG1227" s="30"/>
      <c r="CH1227" s="74"/>
    </row>
    <row r="1228" spans="1:86" x14ac:dyDescent="0.2">
      <c r="A1228" s="3" t="s">
        <v>37</v>
      </c>
      <c r="B1228" s="39">
        <v>1021</v>
      </c>
      <c r="C1228" s="82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1"/>
      <c r="Q1228" s="30"/>
      <c r="R1228" s="31"/>
      <c r="S1228" s="30"/>
      <c r="T1228" s="30"/>
      <c r="U1228" s="30"/>
      <c r="V1228" s="30"/>
      <c r="W1228" s="30"/>
      <c r="X1228" s="30"/>
      <c r="Y1228" s="30"/>
      <c r="Z1228" s="31"/>
      <c r="AA1228" s="30"/>
      <c r="AB1228" s="30"/>
      <c r="AC1228" s="30"/>
      <c r="AD1228" s="30"/>
      <c r="AE1228" s="31"/>
      <c r="AF1228" s="30"/>
      <c r="AG1228" s="31"/>
      <c r="AH1228" s="31"/>
      <c r="AI1228" s="30"/>
      <c r="AJ1228" s="31"/>
      <c r="AK1228" s="16"/>
      <c r="AL1228" s="16"/>
      <c r="AM1228" s="31"/>
      <c r="AN1228" s="31"/>
      <c r="AO1228" s="31"/>
      <c r="AP1228" s="31"/>
      <c r="AQ1228" s="31"/>
      <c r="AR1228" s="31"/>
      <c r="AS1228" s="31"/>
      <c r="AU1228" s="31"/>
      <c r="AV1228" s="31"/>
      <c r="AW1228" s="31"/>
      <c r="AX1228" s="31"/>
      <c r="BA1228" s="31"/>
      <c r="BB1228" s="31"/>
      <c r="BC1228" s="31"/>
      <c r="BD1228" s="31"/>
      <c r="BE1228" s="31"/>
      <c r="BF1228" s="31"/>
      <c r="BG1228" s="31"/>
      <c r="BH1228" s="31"/>
      <c r="BI1228" s="31"/>
      <c r="BJ1228" s="31"/>
      <c r="BK1228" s="16"/>
      <c r="BL1228" s="30"/>
      <c r="BM1228" s="31"/>
      <c r="BN1228" s="31"/>
      <c r="BO1228" s="31"/>
      <c r="BP1228" s="31"/>
      <c r="BQ1228" s="31"/>
      <c r="BR1228" s="31"/>
      <c r="BS1228" s="31"/>
      <c r="BT1228" s="31"/>
      <c r="BU1228" s="31"/>
      <c r="BW1228" s="31"/>
      <c r="BX1228" s="31"/>
      <c r="BY1228" s="31"/>
      <c r="BZ1228" s="31">
        <f>20/100000</f>
        <v>2.0000000000000001E-4</v>
      </c>
      <c r="CA1228" s="31"/>
      <c r="CB1228" s="31"/>
      <c r="CC1228" s="31"/>
      <c r="CD1228" s="31"/>
      <c r="CE1228" s="31">
        <f>23.9/100000</f>
        <v>2.3899999999999998E-4</v>
      </c>
      <c r="CF1228" s="30"/>
      <c r="CG1228" s="30"/>
      <c r="CH1228" s="74"/>
    </row>
    <row r="1229" spans="1:86" x14ac:dyDescent="0.2">
      <c r="A1229" s="3" t="s">
        <v>37</v>
      </c>
      <c r="B1229" s="39">
        <v>1021</v>
      </c>
      <c r="C1229" s="82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1"/>
      <c r="Q1229" s="30"/>
      <c r="R1229" s="31"/>
      <c r="S1229" s="30"/>
      <c r="T1229" s="30"/>
      <c r="U1229" s="30"/>
      <c r="V1229" s="30"/>
      <c r="W1229" s="30"/>
      <c r="X1229" s="30"/>
      <c r="Y1229" s="30"/>
      <c r="Z1229" s="31"/>
      <c r="AA1229" s="30"/>
      <c r="AB1229" s="30"/>
      <c r="AC1229" s="30"/>
      <c r="AD1229" s="30"/>
      <c r="AE1229" s="31"/>
      <c r="AF1229" s="30"/>
      <c r="AG1229" s="31"/>
      <c r="AH1229" s="31"/>
      <c r="AI1229" s="30"/>
      <c r="AJ1229" s="31"/>
      <c r="AK1229" s="16"/>
      <c r="AL1229" s="16"/>
      <c r="AM1229" s="31"/>
      <c r="AN1229" s="31"/>
      <c r="AO1229" s="31"/>
      <c r="AP1229" s="31"/>
      <c r="AQ1229" s="31"/>
      <c r="AR1229" s="31"/>
      <c r="AS1229" s="31"/>
      <c r="AU1229" s="31"/>
      <c r="AV1229" s="31"/>
      <c r="AW1229" s="31"/>
      <c r="AX1229" s="31"/>
      <c r="BA1229" s="31"/>
      <c r="BB1229" s="31"/>
      <c r="BC1229" s="31"/>
      <c r="BD1229" s="31"/>
      <c r="BE1229" s="31"/>
      <c r="BF1229" s="31"/>
      <c r="BG1229" s="31"/>
      <c r="BH1229" s="31"/>
      <c r="BI1229" s="31"/>
      <c r="BJ1229" s="31"/>
      <c r="BK1229" s="16"/>
      <c r="BL1229" s="30"/>
      <c r="BM1229" s="31"/>
      <c r="BN1229" s="31"/>
      <c r="BO1229" s="31"/>
      <c r="BP1229" s="31"/>
      <c r="BQ1229" s="31"/>
      <c r="BR1229" s="31"/>
      <c r="BS1229" s="31"/>
      <c r="BT1229" s="31"/>
      <c r="BU1229" s="31"/>
      <c r="BW1229" s="31"/>
      <c r="BX1229" s="31"/>
      <c r="BY1229" s="31"/>
      <c r="BZ1229" s="31">
        <f>13.3/100000</f>
        <v>1.3300000000000001E-4</v>
      </c>
      <c r="CA1229" s="31"/>
      <c r="CB1229" s="31"/>
      <c r="CC1229" s="31"/>
      <c r="CD1229" s="31"/>
      <c r="CE1229" s="31">
        <f>13.5/100000</f>
        <v>1.35E-4</v>
      </c>
      <c r="CF1229" s="30"/>
      <c r="CG1229" s="30"/>
      <c r="CH1229" s="74"/>
    </row>
    <row r="1230" spans="1:86" x14ac:dyDescent="0.2">
      <c r="A1230" s="3" t="s">
        <v>37</v>
      </c>
      <c r="B1230" s="39">
        <v>1022</v>
      </c>
      <c r="C1230" s="82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1"/>
      <c r="Q1230" s="30"/>
      <c r="R1230" s="31"/>
      <c r="S1230" s="30"/>
      <c r="T1230" s="30"/>
      <c r="U1230" s="30"/>
      <c r="V1230" s="30"/>
      <c r="W1230" s="30"/>
      <c r="X1230" s="30"/>
      <c r="Y1230" s="30"/>
      <c r="Z1230" s="31"/>
      <c r="AA1230" s="30"/>
      <c r="AB1230" s="30"/>
      <c r="AC1230" s="30"/>
      <c r="AD1230" s="30"/>
      <c r="AE1230" s="31"/>
      <c r="AF1230" s="30"/>
      <c r="AG1230" s="31"/>
      <c r="AH1230" s="31"/>
      <c r="AI1230" s="30"/>
      <c r="AJ1230" s="31"/>
      <c r="AK1230" s="16"/>
      <c r="AL1230" s="16"/>
      <c r="AM1230" s="31"/>
      <c r="AN1230" s="31"/>
      <c r="AO1230" s="31"/>
      <c r="AP1230" s="31"/>
      <c r="AQ1230" s="31"/>
      <c r="AR1230" s="31"/>
      <c r="AS1230" s="31"/>
      <c r="AU1230" s="31"/>
      <c r="AV1230" s="31"/>
      <c r="AW1230" s="31"/>
      <c r="AX1230" s="31"/>
      <c r="BA1230" s="31"/>
      <c r="BB1230" s="31"/>
      <c r="BC1230" s="31"/>
      <c r="BD1230" s="31"/>
      <c r="BE1230" s="31"/>
      <c r="BF1230" s="31"/>
      <c r="BG1230" s="31"/>
      <c r="BH1230" s="31"/>
      <c r="BI1230" s="31"/>
      <c r="BJ1230" s="31"/>
      <c r="BK1230" s="16"/>
      <c r="BL1230" s="30"/>
      <c r="BM1230" s="31"/>
      <c r="BN1230" s="31"/>
      <c r="BO1230" s="31"/>
      <c r="BP1230" s="31"/>
      <c r="BQ1230" s="31"/>
      <c r="BR1230" s="31"/>
      <c r="BS1230" s="31"/>
      <c r="BT1230" s="31"/>
      <c r="BU1230" s="31"/>
      <c r="BV1230" s="31">
        <f>5/100000</f>
        <v>5.0000000000000002E-5</v>
      </c>
      <c r="BW1230" s="31"/>
      <c r="BX1230" s="31"/>
      <c r="BY1230" s="31"/>
      <c r="BZ1230" s="31"/>
      <c r="CA1230" s="31"/>
      <c r="CB1230" s="31"/>
      <c r="CC1230" s="31"/>
      <c r="CD1230" s="31"/>
      <c r="CE1230" s="31"/>
      <c r="CF1230" s="30"/>
      <c r="CG1230" s="31">
        <f>7.3/100000</f>
        <v>7.2999999999999999E-5</v>
      </c>
      <c r="CH1230" s="74"/>
    </row>
    <row r="1231" spans="1:86" x14ac:dyDescent="0.2">
      <c r="A1231" s="3" t="s">
        <v>37</v>
      </c>
      <c r="B1231" s="39">
        <v>1023</v>
      </c>
      <c r="C1231" s="82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1"/>
      <c r="Q1231" s="30"/>
      <c r="R1231" s="31"/>
      <c r="S1231" s="30"/>
      <c r="T1231" s="30"/>
      <c r="U1231" s="30"/>
      <c r="V1231" s="30"/>
      <c r="W1231" s="30"/>
      <c r="X1231" s="30"/>
      <c r="Y1231" s="30"/>
      <c r="Z1231" s="31"/>
      <c r="AA1231" s="30"/>
      <c r="AB1231" s="30"/>
      <c r="AC1231" s="30"/>
      <c r="AD1231" s="30"/>
      <c r="AE1231" s="31"/>
      <c r="AF1231" s="30"/>
      <c r="AG1231" s="31"/>
      <c r="AH1231" s="31"/>
      <c r="AI1231" s="30"/>
      <c r="AJ1231" s="31"/>
      <c r="AK1231" s="16"/>
      <c r="AL1231" s="16"/>
      <c r="AM1231" s="31"/>
      <c r="AN1231" s="31"/>
      <c r="AO1231" s="31"/>
      <c r="AP1231" s="31"/>
      <c r="AQ1231" s="31"/>
      <c r="AR1231" s="31"/>
      <c r="AS1231" s="31"/>
      <c r="AU1231" s="31"/>
      <c r="AV1231" s="31"/>
      <c r="AW1231" s="31"/>
      <c r="AX1231" s="31">
        <f>10.31/100000</f>
        <v>1.031E-4</v>
      </c>
      <c r="BA1231" s="31"/>
      <c r="BB1231" s="31"/>
      <c r="BC1231" s="31"/>
      <c r="BD1231" s="31"/>
      <c r="BE1231" s="31"/>
      <c r="BF1231" s="31"/>
      <c r="BG1231" s="31"/>
      <c r="BH1231" s="31"/>
      <c r="BI1231" s="31"/>
      <c r="BJ1231" s="31"/>
      <c r="BK1231" s="16"/>
      <c r="BL1231" s="30"/>
      <c r="BM1231" s="31"/>
      <c r="BN1231" s="31"/>
      <c r="BO1231" s="31"/>
      <c r="BP1231" s="31"/>
      <c r="BQ1231" s="31"/>
      <c r="BR1231" s="31"/>
      <c r="BS1231" s="31"/>
      <c r="BT1231" s="31"/>
      <c r="BU1231" s="31"/>
      <c r="BV1231" s="31"/>
      <c r="BW1231" s="31"/>
      <c r="BX1231" s="31"/>
      <c r="BY1231" s="31"/>
      <c r="BZ1231" s="31"/>
      <c r="CA1231" s="31"/>
      <c r="CB1231" s="31"/>
      <c r="CC1231" s="31"/>
      <c r="CD1231" s="31"/>
      <c r="CE1231" s="31">
        <f>3.52/100000</f>
        <v>3.5200000000000002E-5</v>
      </c>
      <c r="CF1231" s="30"/>
      <c r="CG1231" s="31"/>
      <c r="CH1231" s="74"/>
    </row>
    <row r="1232" spans="1:86" x14ac:dyDescent="0.2">
      <c r="A1232" s="3" t="s">
        <v>37</v>
      </c>
      <c r="B1232" s="39">
        <v>1023</v>
      </c>
      <c r="C1232" s="82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1"/>
      <c r="Q1232" s="30"/>
      <c r="R1232" s="31"/>
      <c r="S1232" s="30"/>
      <c r="T1232" s="30"/>
      <c r="U1232" s="30"/>
      <c r="V1232" s="30"/>
      <c r="W1232" s="30"/>
      <c r="X1232" s="30"/>
      <c r="Y1232" s="30"/>
      <c r="Z1232" s="31"/>
      <c r="AA1232" s="30"/>
      <c r="AB1232" s="30"/>
      <c r="AC1232" s="30"/>
      <c r="AD1232" s="30"/>
      <c r="AE1232" s="31"/>
      <c r="AF1232" s="30"/>
      <c r="AG1232" s="31"/>
      <c r="AH1232" s="31"/>
      <c r="AI1232" s="30"/>
      <c r="AJ1232" s="31"/>
      <c r="AK1232" s="16"/>
      <c r="AL1232" s="16"/>
      <c r="AM1232" s="31"/>
      <c r="AN1232" s="31"/>
      <c r="AO1232" s="31"/>
      <c r="AP1232" s="31"/>
      <c r="AQ1232" s="31"/>
      <c r="AR1232" s="31"/>
      <c r="AS1232" s="31"/>
      <c r="AU1232" s="31"/>
      <c r="AV1232" s="31"/>
      <c r="AW1232" s="31"/>
      <c r="AX1232" s="31">
        <f>29.65/100000</f>
        <v>2.965E-4</v>
      </c>
      <c r="BA1232" s="31"/>
      <c r="BB1232" s="31"/>
      <c r="BC1232" s="31"/>
      <c r="BD1232" s="31"/>
      <c r="BE1232" s="31"/>
      <c r="BF1232" s="31"/>
      <c r="BG1232" s="31"/>
      <c r="BH1232" s="31"/>
      <c r="BI1232" s="31"/>
      <c r="BJ1232" s="31"/>
      <c r="BK1232" s="16"/>
      <c r="BL1232" s="30"/>
      <c r="BM1232" s="31"/>
      <c r="BN1232" s="31"/>
      <c r="BO1232" s="31"/>
      <c r="BP1232" s="31"/>
      <c r="BQ1232" s="31"/>
      <c r="BR1232" s="31"/>
      <c r="BS1232" s="31"/>
      <c r="BT1232" s="31"/>
      <c r="BU1232" s="31"/>
      <c r="BV1232" s="31"/>
      <c r="BW1232" s="31"/>
      <c r="BX1232" s="31"/>
      <c r="BY1232" s="31"/>
      <c r="BZ1232" s="31"/>
      <c r="CA1232" s="31"/>
      <c r="CB1232" s="31"/>
      <c r="CC1232" s="31"/>
      <c r="CD1232" s="31"/>
      <c r="CE1232" s="31">
        <f>5.64/100000</f>
        <v>5.6399999999999995E-5</v>
      </c>
      <c r="CF1232" s="30"/>
      <c r="CG1232" s="31"/>
      <c r="CH1232" s="74"/>
    </row>
    <row r="1233" spans="1:86" x14ac:dyDescent="0.2">
      <c r="A1233" s="3" t="s">
        <v>37</v>
      </c>
      <c r="B1233" s="39">
        <v>1024</v>
      </c>
      <c r="C1233" s="82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1"/>
      <c r="Q1233" s="30"/>
      <c r="R1233" s="31"/>
      <c r="S1233" s="30"/>
      <c r="T1233" s="30"/>
      <c r="U1233" s="30"/>
      <c r="V1233" s="30"/>
      <c r="W1233" s="30"/>
      <c r="X1233" s="30"/>
      <c r="Y1233" s="30"/>
      <c r="Z1233" s="31"/>
      <c r="AA1233" s="30"/>
      <c r="AB1233" s="30"/>
      <c r="AC1233" s="30"/>
      <c r="AD1233" s="30"/>
      <c r="AE1233" s="31"/>
      <c r="AF1233" s="30"/>
      <c r="AG1233" s="31"/>
      <c r="AH1233" s="31"/>
      <c r="AI1233" s="30"/>
      <c r="AJ1233" s="31"/>
      <c r="AK1233" s="16"/>
      <c r="AL1233" s="16"/>
      <c r="AM1233" s="31"/>
      <c r="AN1233" s="31"/>
      <c r="AO1233" s="31"/>
      <c r="AP1233" s="31"/>
      <c r="AQ1233" s="31"/>
      <c r="AR1233" s="31"/>
      <c r="AS1233" s="31"/>
      <c r="AU1233" s="31"/>
      <c r="AV1233" s="31"/>
      <c r="AW1233" s="31"/>
      <c r="AX1233" s="31"/>
      <c r="BA1233" s="31"/>
      <c r="BB1233" s="31"/>
      <c r="BC1233" s="31"/>
      <c r="BD1233" s="31"/>
      <c r="BE1233" s="31"/>
      <c r="BF1233" s="31">
        <f>21.35/100000</f>
        <v>2.1350000000000001E-4</v>
      </c>
      <c r="BG1233" s="31"/>
      <c r="BH1233" s="31"/>
      <c r="BI1233" s="31"/>
      <c r="BJ1233" s="31"/>
      <c r="BK1233" s="16"/>
      <c r="BL1233" s="30"/>
      <c r="BM1233" s="31"/>
      <c r="BN1233" s="31"/>
      <c r="BO1233" s="31"/>
      <c r="BP1233" s="31"/>
      <c r="BQ1233" s="31"/>
      <c r="BR1233" s="31"/>
      <c r="BS1233" s="31"/>
      <c r="BT1233" s="31"/>
      <c r="BU1233" s="31"/>
      <c r="BV1233" s="31"/>
      <c r="BW1233" s="31"/>
      <c r="BX1233" s="31"/>
      <c r="BY1233" s="31"/>
      <c r="BZ1233" s="31"/>
      <c r="CA1233" s="31"/>
      <c r="CB1233" s="31"/>
      <c r="CC1233" s="31"/>
      <c r="CD1233" s="31">
        <f>12.49/100000</f>
        <v>1.249E-4</v>
      </c>
      <c r="CE1233" s="31"/>
      <c r="CF1233" s="30"/>
      <c r="CG1233" s="31"/>
      <c r="CH1233" s="74"/>
    </row>
    <row r="1234" spans="1:86" x14ac:dyDescent="0.2">
      <c r="A1234" s="3" t="s">
        <v>37</v>
      </c>
      <c r="B1234" s="39">
        <v>1025</v>
      </c>
      <c r="C1234" s="82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1"/>
      <c r="Q1234" s="30"/>
      <c r="R1234" s="31"/>
      <c r="S1234" s="30"/>
      <c r="T1234" s="30"/>
      <c r="U1234" s="30"/>
      <c r="V1234" s="30"/>
      <c r="W1234" s="30"/>
      <c r="X1234" s="30"/>
      <c r="Y1234" s="30"/>
      <c r="Z1234" s="31"/>
      <c r="AA1234" s="30"/>
      <c r="AB1234" s="30"/>
      <c r="AC1234" s="30"/>
      <c r="AD1234" s="30"/>
      <c r="AE1234" s="31"/>
      <c r="AF1234" s="30"/>
      <c r="AG1234" s="31"/>
      <c r="AH1234" s="31"/>
      <c r="AI1234" s="30"/>
      <c r="AJ1234" s="31"/>
      <c r="AK1234" s="16"/>
      <c r="AL1234" s="16"/>
      <c r="AM1234" s="31"/>
      <c r="AN1234" s="31"/>
      <c r="AO1234" s="31"/>
      <c r="AP1234" s="31"/>
      <c r="AQ1234" s="31"/>
      <c r="AR1234" s="31"/>
      <c r="AS1234" s="31"/>
      <c r="AU1234" s="31"/>
      <c r="AV1234" s="31"/>
      <c r="AW1234" s="31"/>
      <c r="AX1234" s="31"/>
      <c r="BA1234" s="31"/>
      <c r="BB1234" s="31"/>
      <c r="BC1234" s="31"/>
      <c r="BD1234" s="31"/>
      <c r="BE1234" s="31"/>
      <c r="BF1234" s="31"/>
      <c r="BG1234" s="31"/>
      <c r="BH1234" s="31"/>
      <c r="BI1234" s="31"/>
      <c r="BJ1234" s="31"/>
      <c r="BK1234" s="16"/>
      <c r="BL1234" s="30"/>
      <c r="BM1234" s="31"/>
      <c r="BN1234" s="31"/>
      <c r="BO1234" s="31">
        <f>1.77/100000</f>
        <v>1.77E-5</v>
      </c>
      <c r="BP1234" s="31">
        <f>1.91/100000</f>
        <v>1.91E-5</v>
      </c>
      <c r="BQ1234" s="31">
        <f>2/100000</f>
        <v>2.0000000000000002E-5</v>
      </c>
      <c r="BR1234" s="31">
        <f>1.49/100000</f>
        <v>1.49E-5</v>
      </c>
      <c r="BS1234" s="31">
        <f>1.59/100000</f>
        <v>1.59E-5</v>
      </c>
      <c r="BT1234" s="31">
        <f>1.83/100000</f>
        <v>1.8300000000000001E-5</v>
      </c>
      <c r="BU1234" s="31">
        <f>1.58/100000</f>
        <v>1.5800000000000001E-5</v>
      </c>
      <c r="BV1234" s="31">
        <f>2.37/100000</f>
        <v>2.37E-5</v>
      </c>
      <c r="BW1234" s="31">
        <f>2.26/100000</f>
        <v>2.2599999999999997E-5</v>
      </c>
      <c r="BX1234" s="31">
        <f>2.99/100000</f>
        <v>2.9900000000000002E-5</v>
      </c>
      <c r="BY1234" s="31">
        <f>2.7/100000</f>
        <v>2.7000000000000002E-5</v>
      </c>
      <c r="BZ1234" s="31">
        <f>2.4/100000</f>
        <v>2.4000000000000001E-5</v>
      </c>
      <c r="CA1234" s="31">
        <f>2/100000</f>
        <v>2.0000000000000002E-5</v>
      </c>
      <c r="CB1234" s="31">
        <f>2.49/100000</f>
        <v>2.4900000000000002E-5</v>
      </c>
      <c r="CC1234" s="31">
        <f>3.06/100000</f>
        <v>3.0599999999999998E-5</v>
      </c>
      <c r="CD1234" s="31">
        <f>3.54/100000</f>
        <v>3.54E-5</v>
      </c>
      <c r="CE1234" s="31">
        <f>3.68/100000</f>
        <v>3.68E-5</v>
      </c>
      <c r="CF1234" s="31">
        <f>3.43/100000</f>
        <v>3.43E-5</v>
      </c>
      <c r="CG1234" s="31">
        <f>2.99/100000</f>
        <v>2.9900000000000002E-5</v>
      </c>
      <c r="CH1234" s="74"/>
    </row>
    <row r="1235" spans="1:86" x14ac:dyDescent="0.2">
      <c r="A1235" s="3" t="s">
        <v>37</v>
      </c>
      <c r="B1235" s="39">
        <v>1026</v>
      </c>
      <c r="C1235" s="82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1"/>
      <c r="Q1235" s="30"/>
      <c r="R1235" s="31"/>
      <c r="S1235" s="30"/>
      <c r="T1235" s="30"/>
      <c r="U1235" s="30"/>
      <c r="V1235" s="30"/>
      <c r="W1235" s="30"/>
      <c r="X1235" s="30"/>
      <c r="Y1235" s="30"/>
      <c r="Z1235" s="31"/>
      <c r="AA1235" s="30"/>
      <c r="AB1235" s="30"/>
      <c r="AC1235" s="30"/>
      <c r="AD1235" s="30"/>
      <c r="AE1235" s="31"/>
      <c r="AF1235" s="30"/>
      <c r="AG1235" s="31"/>
      <c r="AH1235" s="31"/>
      <c r="AI1235" s="30"/>
      <c r="AJ1235" s="31"/>
      <c r="AK1235" s="16"/>
      <c r="AL1235" s="16"/>
      <c r="AM1235" s="31"/>
      <c r="AN1235" s="31"/>
      <c r="AO1235" s="31"/>
      <c r="AP1235" s="31"/>
      <c r="AQ1235" s="31"/>
      <c r="AR1235" s="31"/>
      <c r="AS1235" s="31"/>
      <c r="AU1235" s="31"/>
      <c r="AV1235" s="31"/>
      <c r="AW1235" s="31"/>
      <c r="AX1235" s="31"/>
      <c r="BA1235" s="31"/>
      <c r="BB1235" s="31"/>
      <c r="BC1235" s="31"/>
      <c r="BD1235" s="31"/>
      <c r="BE1235" s="31"/>
      <c r="BF1235" s="31"/>
      <c r="BG1235" s="31"/>
      <c r="BH1235" s="31"/>
      <c r="BI1235" s="31"/>
      <c r="BJ1235" s="31"/>
      <c r="BK1235" s="16"/>
      <c r="BL1235" s="30"/>
      <c r="BM1235" s="31"/>
      <c r="BN1235" s="31"/>
      <c r="BO1235" s="31"/>
      <c r="BP1235" s="31"/>
      <c r="BQ1235" s="31"/>
      <c r="BR1235" s="31"/>
      <c r="BS1235" s="31"/>
      <c r="BT1235" s="31"/>
      <c r="BU1235" s="31"/>
      <c r="BV1235" s="31">
        <f>10.24/100000</f>
        <v>1.024E-4</v>
      </c>
      <c r="BW1235" s="31"/>
      <c r="BX1235" s="31"/>
      <c r="BY1235" s="31"/>
      <c r="BZ1235" s="31"/>
      <c r="CA1235" s="31"/>
      <c r="CB1235" s="31"/>
      <c r="CC1235" s="31"/>
      <c r="CD1235" s="31"/>
      <c r="CE1235" s="31">
        <f>6.65/100000</f>
        <v>6.6500000000000004E-5</v>
      </c>
      <c r="CF1235" s="31"/>
      <c r="CG1235" s="31"/>
      <c r="CH1235" s="74"/>
    </row>
    <row r="1236" spans="1:86" x14ac:dyDescent="0.2">
      <c r="A1236" s="3" t="s">
        <v>37</v>
      </c>
      <c r="B1236" s="39">
        <v>1027</v>
      </c>
      <c r="C1236" s="82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1"/>
      <c r="Q1236" s="30"/>
      <c r="R1236" s="31"/>
      <c r="S1236" s="30"/>
      <c r="T1236" s="30"/>
      <c r="U1236" s="30"/>
      <c r="V1236" s="30"/>
      <c r="W1236" s="30"/>
      <c r="X1236" s="30"/>
      <c r="Y1236" s="30"/>
      <c r="Z1236" s="31"/>
      <c r="AA1236" s="30"/>
      <c r="AB1236" s="30"/>
      <c r="AC1236" s="30"/>
      <c r="AD1236" s="30"/>
      <c r="AE1236" s="31"/>
      <c r="AF1236" s="30"/>
      <c r="AG1236" s="31"/>
      <c r="AH1236" s="31"/>
      <c r="AI1236" s="30"/>
      <c r="AJ1236" s="31"/>
      <c r="AK1236" s="16"/>
      <c r="AL1236" s="16"/>
      <c r="AM1236" s="31"/>
      <c r="AN1236" s="31"/>
      <c r="AO1236" s="31"/>
      <c r="AP1236" s="31"/>
      <c r="AQ1236" s="31"/>
      <c r="AR1236" s="31"/>
      <c r="AS1236" s="31"/>
      <c r="AU1236" s="31"/>
      <c r="AV1236" s="31"/>
      <c r="AW1236" s="31"/>
      <c r="AX1236" s="31"/>
      <c r="BA1236" s="31"/>
      <c r="BB1236" s="31"/>
      <c r="BC1236" s="31"/>
      <c r="BD1236" s="31"/>
      <c r="BE1236" s="31"/>
      <c r="BF1236" s="31"/>
      <c r="BG1236" s="31"/>
      <c r="BH1236" s="31"/>
      <c r="BI1236" s="31"/>
      <c r="BJ1236" s="31"/>
      <c r="BK1236" s="31">
        <f>1.8/100000</f>
        <v>1.8E-5</v>
      </c>
      <c r="BL1236" s="30"/>
      <c r="BM1236" s="31"/>
      <c r="BN1236" s="31"/>
      <c r="BO1236" s="31"/>
      <c r="BP1236" s="31"/>
      <c r="BQ1236" s="31"/>
      <c r="BR1236" s="31"/>
      <c r="BS1236" s="31"/>
      <c r="BT1236" s="31"/>
      <c r="BU1236" s="31"/>
      <c r="BV1236" s="31"/>
      <c r="BW1236" s="31"/>
      <c r="BX1236" s="31"/>
      <c r="BY1236" s="31"/>
      <c r="BZ1236" s="31"/>
      <c r="CA1236" s="31"/>
      <c r="CB1236" s="31"/>
      <c r="CC1236" s="31">
        <f>1.6/100000</f>
        <v>1.5999999999999999E-5</v>
      </c>
      <c r="CD1236" s="31"/>
      <c r="CE1236" s="31"/>
      <c r="CF1236" s="31"/>
      <c r="CG1236" s="31"/>
      <c r="CH1236" s="74"/>
    </row>
    <row r="1237" spans="1:86" x14ac:dyDescent="0.2">
      <c r="A1237" s="3" t="s">
        <v>37</v>
      </c>
      <c r="B1237" s="39">
        <v>1027</v>
      </c>
      <c r="C1237" s="82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1"/>
      <c r="Q1237" s="30"/>
      <c r="R1237" s="31"/>
      <c r="S1237" s="30"/>
      <c r="T1237" s="30"/>
      <c r="U1237" s="30"/>
      <c r="V1237" s="30"/>
      <c r="W1237" s="30"/>
      <c r="X1237" s="30"/>
      <c r="Y1237" s="30"/>
      <c r="Z1237" s="31"/>
      <c r="AA1237" s="30"/>
      <c r="AB1237" s="30"/>
      <c r="AC1237" s="30"/>
      <c r="AD1237" s="30"/>
      <c r="AE1237" s="31"/>
      <c r="AF1237" s="30"/>
      <c r="AG1237" s="31"/>
      <c r="AH1237" s="31"/>
      <c r="AI1237" s="30"/>
      <c r="AJ1237" s="31"/>
      <c r="AK1237" s="16"/>
      <c r="AL1237" s="16"/>
      <c r="AM1237" s="31"/>
      <c r="AN1237" s="31"/>
      <c r="AO1237" s="31"/>
      <c r="AP1237" s="31"/>
      <c r="AQ1237" s="31"/>
      <c r="AR1237" s="31"/>
      <c r="AS1237" s="31"/>
      <c r="AU1237" s="31"/>
      <c r="AV1237" s="31"/>
      <c r="AW1237" s="31"/>
      <c r="AX1237" s="31"/>
      <c r="BA1237" s="31"/>
      <c r="BB1237" s="31"/>
      <c r="BC1237" s="31"/>
      <c r="BD1237" s="31"/>
      <c r="BE1237" s="31"/>
      <c r="BF1237" s="31"/>
      <c r="BG1237" s="31"/>
      <c r="BH1237" s="31"/>
      <c r="BI1237" s="31"/>
      <c r="BJ1237" s="31"/>
      <c r="BK1237" s="31">
        <f>1.6/100000</f>
        <v>1.5999999999999999E-5</v>
      </c>
      <c r="BL1237" s="30"/>
      <c r="BM1237" s="31"/>
      <c r="BN1237" s="31"/>
      <c r="BO1237" s="31"/>
      <c r="BP1237" s="31"/>
      <c r="BQ1237" s="31"/>
      <c r="BR1237" s="31"/>
      <c r="BS1237" s="31"/>
      <c r="BT1237" s="31">
        <f>1.5/100000</f>
        <v>1.5E-5</v>
      </c>
      <c r="BU1237" s="31"/>
      <c r="BV1237" s="31"/>
      <c r="BW1237" s="31"/>
      <c r="BX1237" s="31"/>
      <c r="BY1237" s="31"/>
      <c r="BZ1237" s="31"/>
      <c r="CA1237" s="31"/>
      <c r="CB1237" s="31"/>
      <c r="CC1237" s="31">
        <f>3/100000</f>
        <v>3.0000000000000001E-5</v>
      </c>
      <c r="CD1237" s="31"/>
      <c r="CE1237" s="31"/>
      <c r="CF1237" s="31"/>
      <c r="CG1237" s="31"/>
      <c r="CH1237" s="74"/>
    </row>
    <row r="1238" spans="1:86" s="46" customFormat="1" x14ac:dyDescent="0.2">
      <c r="A1238" s="38" t="s">
        <v>37</v>
      </c>
      <c r="B1238" s="40">
        <v>1028</v>
      </c>
      <c r="C1238" s="83"/>
      <c r="D1238" s="75"/>
      <c r="E1238" s="75"/>
      <c r="F1238" s="75"/>
      <c r="G1238" s="75"/>
      <c r="H1238" s="75"/>
      <c r="I1238" s="75"/>
      <c r="J1238" s="75"/>
      <c r="K1238" s="75"/>
      <c r="L1238" s="75"/>
      <c r="M1238" s="75"/>
      <c r="N1238" s="75"/>
      <c r="O1238" s="75"/>
      <c r="P1238" s="76"/>
      <c r="Q1238" s="75"/>
      <c r="R1238" s="76"/>
      <c r="S1238" s="75"/>
      <c r="T1238" s="75"/>
      <c r="U1238" s="75"/>
      <c r="V1238" s="75"/>
      <c r="W1238" s="75"/>
      <c r="X1238" s="75"/>
      <c r="Y1238" s="75"/>
      <c r="Z1238" s="76"/>
      <c r="AA1238" s="75"/>
      <c r="AB1238" s="75"/>
      <c r="AC1238" s="75"/>
      <c r="AD1238" s="75"/>
      <c r="AE1238" s="76"/>
      <c r="AF1238" s="75"/>
      <c r="AG1238" s="76"/>
      <c r="AH1238" s="76"/>
      <c r="AI1238" s="75"/>
      <c r="AJ1238" s="76"/>
      <c r="AK1238" s="63"/>
      <c r="AL1238" s="63"/>
      <c r="AM1238" s="76"/>
      <c r="AN1238" s="76"/>
      <c r="AO1238" s="76"/>
      <c r="AP1238" s="76"/>
      <c r="AQ1238" s="76"/>
      <c r="AR1238" s="76"/>
      <c r="AS1238" s="76"/>
      <c r="AU1238" s="76"/>
      <c r="AV1238" s="76"/>
      <c r="AW1238" s="76"/>
      <c r="AX1238" s="76"/>
      <c r="BA1238" s="76"/>
      <c r="BB1238" s="76"/>
      <c r="BC1238" s="76"/>
      <c r="BD1238" s="76"/>
      <c r="BE1238" s="76"/>
      <c r="BF1238" s="76"/>
      <c r="BG1238" s="76"/>
      <c r="BH1238" s="76"/>
      <c r="BI1238" s="76"/>
      <c r="BJ1238" s="76"/>
      <c r="BK1238" s="76"/>
      <c r="BL1238" s="75"/>
      <c r="BM1238" s="76"/>
      <c r="BN1238" s="76"/>
      <c r="BO1238" s="76">
        <f>17.1/100000</f>
        <v>1.7100000000000001E-4</v>
      </c>
      <c r="BP1238" s="76"/>
      <c r="BQ1238" s="76"/>
      <c r="BR1238" s="76"/>
      <c r="BS1238" s="76"/>
      <c r="BT1238" s="76"/>
      <c r="BU1238" s="76"/>
      <c r="BV1238" s="76"/>
      <c r="BW1238" s="76"/>
      <c r="BX1238" s="76"/>
      <c r="BY1238" s="76"/>
      <c r="BZ1238" s="76"/>
      <c r="CA1238" s="76"/>
      <c r="CB1238" s="76"/>
      <c r="CC1238" s="76">
        <f>14.1/100000</f>
        <v>1.4099999999999998E-4</v>
      </c>
      <c r="CD1238" s="76"/>
      <c r="CE1238" s="76"/>
      <c r="CF1238" s="76"/>
      <c r="CG1238" s="76"/>
      <c r="CH1238" s="77"/>
    </row>
    <row r="1239" spans="1:86" x14ac:dyDescent="0.2">
      <c r="A1239" s="3" t="s">
        <v>38</v>
      </c>
      <c r="B1239" s="39">
        <v>1029</v>
      </c>
      <c r="C1239" s="82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5"/>
      <c r="BL1239" s="10"/>
      <c r="BP1239"/>
      <c r="BQ1239" s="26">
        <v>3.4999999999999997E-5</v>
      </c>
      <c r="BR1239" s="26">
        <v>6.7999999999999999E-5</v>
      </c>
      <c r="BS1239" s="26">
        <v>9.800000000000001E-5</v>
      </c>
      <c r="BT1239" s="26">
        <v>1.3099999999999999E-4</v>
      </c>
      <c r="BU1239" s="26">
        <v>1.7199999999999998E-4</v>
      </c>
      <c r="BV1239" s="26">
        <v>2.1699999999999999E-4</v>
      </c>
      <c r="BW1239" s="26">
        <v>2.7E-4</v>
      </c>
      <c r="BX1239" s="26">
        <v>3.2899999999999997E-4</v>
      </c>
      <c r="CH1239" s="44"/>
    </row>
    <row r="1240" spans="1:86" x14ac:dyDescent="0.2">
      <c r="A1240" s="3" t="s">
        <v>38</v>
      </c>
      <c r="B1240" s="39">
        <v>1030</v>
      </c>
      <c r="C1240" s="82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5"/>
      <c r="BL1240" s="10"/>
      <c r="BP1240"/>
      <c r="BQ1240" s="18">
        <f>4.4/100000</f>
        <v>4.4000000000000006E-5</v>
      </c>
      <c r="BR1240" s="26"/>
      <c r="BS1240" s="26"/>
      <c r="BT1240" s="26"/>
      <c r="BU1240" s="26"/>
      <c r="BV1240" s="26"/>
      <c r="BW1240" s="26"/>
      <c r="BX1240" s="26"/>
      <c r="BY1240" s="18">
        <f>38.7/100000</f>
        <v>3.8700000000000003E-4</v>
      </c>
      <c r="CH1240" s="44"/>
    </row>
    <row r="1241" spans="1:86" x14ac:dyDescent="0.2">
      <c r="A1241" s="3" t="s">
        <v>38</v>
      </c>
      <c r="B1241" s="39">
        <v>1031</v>
      </c>
      <c r="C1241" s="82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5"/>
      <c r="BL1241" s="10"/>
      <c r="BP1241"/>
      <c r="BQ1241" s="18"/>
      <c r="BR1241" s="18"/>
      <c r="BS1241" s="18"/>
      <c r="BT1241" s="18"/>
      <c r="BU1241" s="18"/>
      <c r="BV1241" s="18"/>
      <c r="BW1241" s="18"/>
      <c r="BX1241" s="18"/>
      <c r="BY1241" s="18">
        <f>575/154062</f>
        <v>3.7322636341213279E-3</v>
      </c>
      <c r="BZ1241" s="18">
        <f>598/165299</f>
        <v>3.6176867373668323E-3</v>
      </c>
      <c r="CA1241" s="18"/>
      <c r="CH1241" s="44"/>
    </row>
    <row r="1242" spans="1:86" x14ac:dyDescent="0.2">
      <c r="A1242" s="3" t="s">
        <v>38</v>
      </c>
      <c r="B1242" s="39">
        <v>1031</v>
      </c>
      <c r="C1242" s="82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5"/>
      <c r="BL1242" s="10"/>
      <c r="BP1242"/>
      <c r="BQ1242" s="18"/>
      <c r="BR1242" s="18"/>
      <c r="BS1242" s="18"/>
      <c r="BT1242" s="18"/>
      <c r="BU1242" s="18">
        <f>96/118581</f>
        <v>8.0957320312697646E-4</v>
      </c>
      <c r="BV1242" s="18"/>
      <c r="BW1242" s="18"/>
      <c r="BX1242" s="18">
        <f>17/60221</f>
        <v>2.8229355208316036E-4</v>
      </c>
      <c r="BY1242" s="18">
        <f>19/75233</f>
        <v>2.525487485544907E-4</v>
      </c>
      <c r="BZ1242" s="18"/>
      <c r="CA1242" s="18"/>
      <c r="CH1242" s="44"/>
    </row>
    <row r="1243" spans="1:86" x14ac:dyDescent="0.2">
      <c r="A1243" s="3" t="s">
        <v>38</v>
      </c>
      <c r="B1243" s="39">
        <v>1031</v>
      </c>
      <c r="C1243" s="82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5"/>
      <c r="BL1243" s="10"/>
      <c r="BP1243"/>
      <c r="BQ1243" s="18">
        <f>82/92133</f>
        <v>8.9001769181509338E-4</v>
      </c>
      <c r="BR1243" s="18">
        <f>75/69965</f>
        <v>1.0719645537054241E-3</v>
      </c>
      <c r="BS1243" s="18">
        <f>82/78551</f>
        <v>1.0439077796590751E-3</v>
      </c>
      <c r="BT1243" s="18">
        <f>131/87101</f>
        <v>1.5040011021687466E-3</v>
      </c>
      <c r="BU1243" s="18">
        <f>204/95712</f>
        <v>2.1313941825476428E-3</v>
      </c>
      <c r="BV1243" s="18">
        <f>226/105781</f>
        <v>2.1364895397093997E-3</v>
      </c>
      <c r="BW1243" s="18">
        <f>214/90666</f>
        <v>2.3603114728784772E-3</v>
      </c>
      <c r="BX1243" s="18">
        <f>299/123078</f>
        <v>2.4293537431547474E-3</v>
      </c>
      <c r="BY1243" s="18">
        <f>271/79266</f>
        <v>3.4188681149547096E-3</v>
      </c>
      <c r="BZ1243" s="18">
        <f>416/93034</f>
        <v>4.4714835436507087E-3</v>
      </c>
      <c r="CA1243" s="18">
        <f>1685/94376</f>
        <v>1.7854115453081291E-2</v>
      </c>
      <c r="CH1243" s="44"/>
    </row>
    <row r="1244" spans="1:86" x14ac:dyDescent="0.2">
      <c r="A1244" s="3" t="s">
        <v>38</v>
      </c>
      <c r="B1244" s="39">
        <v>1031</v>
      </c>
      <c r="C1244" s="82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5"/>
      <c r="BL1244" s="10"/>
      <c r="BP1244"/>
      <c r="BQ1244" s="18"/>
      <c r="BR1244" s="18">
        <f>149/63817</f>
        <v>2.33480107181472E-3</v>
      </c>
      <c r="BS1244" s="18"/>
      <c r="BT1244" s="18">
        <f>186/76459</f>
        <v>2.4326763363371217E-3</v>
      </c>
      <c r="BU1244" s="18"/>
      <c r="BV1244" s="18"/>
      <c r="BW1244" s="18">
        <f>230/91117</f>
        <v>2.5242270926391342E-3</v>
      </c>
      <c r="BX1244" s="18"/>
      <c r="BY1244" s="18"/>
      <c r="BZ1244" s="18"/>
      <c r="CA1244" s="18"/>
      <c r="CH1244" s="44"/>
    </row>
    <row r="1245" spans="1:86" x14ac:dyDescent="0.2">
      <c r="A1245" s="3" t="s">
        <v>38</v>
      </c>
      <c r="B1245" s="39">
        <v>1032</v>
      </c>
      <c r="C1245" s="82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5"/>
      <c r="BL1245" s="10"/>
      <c r="BP1245"/>
      <c r="BQ1245" s="18"/>
      <c r="BR1245" s="18">
        <f>4.3/100000</f>
        <v>4.2999999999999995E-5</v>
      </c>
      <c r="BS1245" s="18">
        <f>6.6/100000</f>
        <v>6.5999999999999992E-5</v>
      </c>
      <c r="BT1245" s="18">
        <f>9.9/100000</f>
        <v>9.9000000000000008E-5</v>
      </c>
      <c r="BU1245" s="18">
        <f>12.3/100000</f>
        <v>1.2300000000000001E-4</v>
      </c>
      <c r="BV1245" s="18">
        <f>14.2/100000</f>
        <v>1.4199999999999998E-4</v>
      </c>
      <c r="BW1245" s="18">
        <f>16/100000</f>
        <v>1.6000000000000001E-4</v>
      </c>
      <c r="BX1245" s="18">
        <f>17.8/100000</f>
        <v>1.7800000000000002E-4</v>
      </c>
      <c r="BY1245" s="18">
        <f>20.1/100000</f>
        <v>2.0100000000000001E-4</v>
      </c>
      <c r="BZ1245" s="18">
        <f>22.1/100000</f>
        <v>2.2100000000000001E-4</v>
      </c>
      <c r="CA1245" s="18"/>
      <c r="CH1245" s="44"/>
    </row>
    <row r="1246" spans="1:86" x14ac:dyDescent="0.2">
      <c r="A1246" s="3" t="s">
        <v>38</v>
      </c>
      <c r="B1246" s="39">
        <v>1033</v>
      </c>
      <c r="C1246" s="82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8">
        <f>1/11900</f>
        <v>8.4033613445378154E-5</v>
      </c>
      <c r="BB1246" s="1"/>
      <c r="BC1246" s="1"/>
      <c r="BD1246" s="1"/>
      <c r="BE1246" s="1"/>
      <c r="BF1246" s="1"/>
      <c r="BG1246" s="1"/>
      <c r="BH1246" s="1"/>
      <c r="BI1246" s="1"/>
      <c r="BJ1246" s="1"/>
      <c r="BK1246" s="5"/>
      <c r="BL1246" s="10"/>
      <c r="BP1246"/>
      <c r="BQ1246" s="18"/>
      <c r="BR1246" s="18"/>
      <c r="BS1246" s="18"/>
      <c r="BT1246" s="18"/>
      <c r="BU1246" s="18"/>
      <c r="BV1246" s="18"/>
      <c r="BW1246" s="18"/>
      <c r="BX1246" s="18"/>
      <c r="BY1246" s="18"/>
      <c r="BZ1246" s="18">
        <f>1/2800</f>
        <v>3.5714285714285714E-4</v>
      </c>
      <c r="CA1246" s="18"/>
      <c r="CH1246" s="44"/>
    </row>
    <row r="1247" spans="1:86" x14ac:dyDescent="0.2">
      <c r="A1247" s="3" t="s">
        <v>38</v>
      </c>
      <c r="B1247" s="39">
        <v>1033</v>
      </c>
      <c r="C1247" s="82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8">
        <f>1/30400</f>
        <v>3.2894736842105262E-5</v>
      </c>
      <c r="BB1247" s="1"/>
      <c r="BC1247" s="1"/>
      <c r="BD1247" s="1"/>
      <c r="BE1247" s="1"/>
      <c r="BF1247" s="1"/>
      <c r="BG1247" s="1"/>
      <c r="BH1247" s="1"/>
      <c r="BI1247" s="1"/>
      <c r="BJ1247" s="1"/>
      <c r="BK1247" s="5"/>
      <c r="BL1247" s="10"/>
      <c r="BP1247"/>
      <c r="BQ1247" s="18"/>
      <c r="BR1247" s="18"/>
      <c r="BS1247" s="18"/>
      <c r="BT1247" s="18"/>
      <c r="BU1247" s="18"/>
      <c r="BV1247" s="18"/>
      <c r="BW1247" s="18"/>
      <c r="BX1247" s="18"/>
      <c r="BY1247" s="18"/>
      <c r="BZ1247" s="18">
        <f>1/5200</f>
        <v>1.9230769230769231E-4</v>
      </c>
      <c r="CA1247" s="18"/>
      <c r="CH1247" s="44"/>
    </row>
    <row r="1248" spans="1:86" x14ac:dyDescent="0.2">
      <c r="A1248" s="3" t="s">
        <v>38</v>
      </c>
      <c r="B1248" s="39">
        <v>1034</v>
      </c>
      <c r="C1248" s="8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32"/>
      <c r="AJ1248" s="32"/>
      <c r="AK1248" s="32"/>
      <c r="AL1248" s="32"/>
      <c r="AM1248" s="32"/>
      <c r="AN1248" s="32"/>
      <c r="AO1248" s="32"/>
      <c r="AP1248" s="32"/>
      <c r="AQ1248" s="32"/>
      <c r="AR1248" s="32"/>
      <c r="AS1248" s="32"/>
      <c r="AT1248" s="32"/>
      <c r="AU1248" s="32"/>
      <c r="AV1248" s="1"/>
      <c r="AW1248" s="1"/>
      <c r="AX1248" s="1"/>
      <c r="AY1248" s="1"/>
      <c r="AZ1248" s="1"/>
      <c r="BA1248" s="18"/>
      <c r="BB1248" s="1"/>
      <c r="BC1248" s="1"/>
      <c r="BD1248" s="1"/>
      <c r="BE1248" s="1"/>
      <c r="BF1248" s="1"/>
      <c r="BG1248" s="1"/>
      <c r="BH1248" s="1"/>
      <c r="BI1248" s="1"/>
      <c r="BJ1248" s="1"/>
      <c r="BK1248" s="5"/>
      <c r="BL1248" s="10"/>
      <c r="BP1248"/>
      <c r="BQ1248" s="18"/>
      <c r="BR1248" s="18"/>
      <c r="BS1248" s="18"/>
      <c r="BT1248" s="18"/>
      <c r="BU1248" s="18"/>
      <c r="BV1248" s="18"/>
      <c r="BW1248" s="18"/>
      <c r="BX1248" s="18">
        <v>2.1999999999999999E-2</v>
      </c>
      <c r="BZ1248" s="18"/>
      <c r="CA1248" s="18"/>
      <c r="CB1248" s="18">
        <v>3.5999999999999997E-2</v>
      </c>
      <c r="CH1248" s="44"/>
    </row>
    <row r="1249" spans="1:86" x14ac:dyDescent="0.2">
      <c r="A1249" s="3" t="s">
        <v>38</v>
      </c>
      <c r="B1249" s="39">
        <v>1034</v>
      </c>
      <c r="C1249" s="8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32"/>
      <c r="AG1249" s="32"/>
      <c r="AH1249" s="32"/>
      <c r="AI1249" s="32"/>
      <c r="AJ1249" s="32"/>
      <c r="AK1249" s="32"/>
      <c r="AL1249" s="32"/>
      <c r="AM1249" s="32"/>
      <c r="AN1249" s="32"/>
      <c r="AO1249" s="32"/>
      <c r="AP1249" s="32"/>
      <c r="AQ1249" s="32"/>
      <c r="AR1249" s="32"/>
      <c r="AS1249" s="32"/>
      <c r="AT1249" s="32"/>
      <c r="AU1249" s="32"/>
      <c r="AV1249" s="1"/>
      <c r="AW1249" s="1"/>
      <c r="AX1249" s="1"/>
      <c r="AY1249" s="1"/>
      <c r="AZ1249" s="1"/>
      <c r="BA1249" s="18"/>
      <c r="BB1249" s="1"/>
      <c r="BC1249" s="1"/>
      <c r="BD1249" s="1"/>
      <c r="BE1249" s="1"/>
      <c r="BF1249" s="1"/>
      <c r="BG1249" s="1"/>
      <c r="BH1249" s="1"/>
      <c r="BI1249" s="1"/>
      <c r="BJ1249" s="1"/>
      <c r="BK1249" s="5"/>
      <c r="BL1249" s="10"/>
      <c r="BP1249"/>
      <c r="BQ1249" s="18"/>
      <c r="BR1249" s="18"/>
      <c r="BS1249" s="18"/>
      <c r="BT1249" s="18"/>
      <c r="BU1249" s="18"/>
      <c r="BV1249" s="18"/>
      <c r="BW1249" s="18"/>
      <c r="BX1249" s="18">
        <v>5.0000000000000001E-3</v>
      </c>
      <c r="BZ1249" s="18"/>
      <c r="CA1249" s="18"/>
      <c r="CB1249" s="18">
        <v>2.3E-2</v>
      </c>
      <c r="CH1249" s="44"/>
    </row>
    <row r="1250" spans="1:86" x14ac:dyDescent="0.2">
      <c r="A1250" s="3" t="s">
        <v>38</v>
      </c>
      <c r="B1250" s="39">
        <v>1035</v>
      </c>
      <c r="C1250" s="82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8"/>
      <c r="BB1250" s="1"/>
      <c r="BC1250" s="1"/>
      <c r="BD1250" s="1"/>
      <c r="BE1250" s="1"/>
      <c r="BF1250" s="1"/>
      <c r="BG1250" s="1"/>
      <c r="BH1250" s="1"/>
      <c r="BI1250" s="1"/>
      <c r="BJ1250" s="1"/>
      <c r="BK1250" s="5"/>
      <c r="BL1250" s="10"/>
      <c r="BP1250"/>
      <c r="BQ1250" s="18"/>
      <c r="BR1250" s="18"/>
      <c r="BS1250" s="18"/>
      <c r="BT1250" s="18"/>
      <c r="BU1250" s="18"/>
      <c r="BV1250" s="18">
        <f>2.63/100000</f>
        <v>2.6299999999999999E-5</v>
      </c>
      <c r="BX1250" s="18"/>
      <c r="BZ1250" s="18"/>
      <c r="CA1250" s="18"/>
      <c r="CB1250" s="18">
        <f>16.7/100000</f>
        <v>1.6699999999999999E-4</v>
      </c>
      <c r="CH1250" s="44"/>
    </row>
    <row r="1251" spans="1:86" x14ac:dyDescent="0.2">
      <c r="A1251" s="3" t="s">
        <v>38</v>
      </c>
      <c r="B1251" s="39">
        <v>1035</v>
      </c>
      <c r="C1251" s="82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8"/>
      <c r="BB1251" s="1"/>
      <c r="BC1251" s="1"/>
      <c r="BD1251" s="1"/>
      <c r="BE1251" s="1"/>
      <c r="BF1251" s="1"/>
      <c r="BG1251" s="1"/>
      <c r="BH1251" s="1"/>
      <c r="BI1251" s="1"/>
      <c r="BJ1251" s="1"/>
      <c r="BK1251" s="5"/>
      <c r="BL1251" s="10"/>
      <c r="BP1251"/>
      <c r="BQ1251" s="18"/>
      <c r="BR1251" s="18"/>
      <c r="BS1251" s="18"/>
      <c r="BT1251" s="18"/>
      <c r="BU1251" s="18"/>
      <c r="BV1251" s="18">
        <f>1.24/100000</f>
        <v>1.24E-5</v>
      </c>
      <c r="BX1251" s="18"/>
      <c r="BZ1251" s="18"/>
      <c r="CA1251" s="18"/>
      <c r="CB1251" s="18">
        <f>15.6/100000</f>
        <v>1.56E-4</v>
      </c>
      <c r="CH1251" s="44"/>
    </row>
    <row r="1252" spans="1:86" x14ac:dyDescent="0.2">
      <c r="A1252" s="3" t="s">
        <v>38</v>
      </c>
      <c r="B1252" s="39">
        <v>1035</v>
      </c>
      <c r="C1252" s="82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8"/>
      <c r="BB1252" s="1"/>
      <c r="BC1252" s="1"/>
      <c r="BD1252" s="1"/>
      <c r="BE1252" s="1"/>
      <c r="BF1252" s="1"/>
      <c r="BG1252" s="1"/>
      <c r="BH1252" s="1"/>
      <c r="BI1252" s="1"/>
      <c r="BJ1252" s="1"/>
      <c r="BK1252" s="5"/>
      <c r="BL1252" s="10"/>
      <c r="BP1252"/>
      <c r="BQ1252" s="18"/>
      <c r="BR1252" s="18"/>
      <c r="BS1252" s="18"/>
      <c r="BT1252" s="18"/>
      <c r="BU1252" s="18"/>
      <c r="BV1252" s="18">
        <f>0.9/100000</f>
        <v>9.0000000000000002E-6</v>
      </c>
      <c r="BX1252" s="18"/>
      <c r="BZ1252" s="18"/>
      <c r="CA1252" s="18"/>
      <c r="CB1252" s="18">
        <f>17.4/100000</f>
        <v>1.7399999999999997E-4</v>
      </c>
      <c r="CH1252" s="44"/>
    </row>
    <row r="1253" spans="1:86" x14ac:dyDescent="0.2">
      <c r="A1253" s="3" t="s">
        <v>38</v>
      </c>
      <c r="B1253" s="39">
        <v>1035</v>
      </c>
      <c r="C1253" s="82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8"/>
      <c r="BB1253" s="1"/>
      <c r="BC1253" s="1"/>
      <c r="BD1253" s="1"/>
      <c r="BE1253" s="1"/>
      <c r="BF1253" s="1"/>
      <c r="BG1253" s="1"/>
      <c r="BH1253" s="1"/>
      <c r="BI1253" s="1"/>
      <c r="BJ1253" s="1"/>
      <c r="BK1253" s="5"/>
      <c r="BL1253" s="10"/>
      <c r="BP1253"/>
      <c r="BQ1253" s="18"/>
      <c r="BR1253" s="18"/>
      <c r="BS1253" s="18"/>
      <c r="BT1253" s="18"/>
      <c r="BU1253" s="18"/>
      <c r="BV1253" s="18">
        <f>1.25/100000</f>
        <v>1.2500000000000001E-5</v>
      </c>
      <c r="BX1253" s="18"/>
      <c r="BZ1253" s="18"/>
      <c r="CA1253" s="18"/>
      <c r="CB1253" s="18">
        <f>17.5/100000</f>
        <v>1.75E-4</v>
      </c>
      <c r="CH1253" s="44"/>
    </row>
    <row r="1254" spans="1:86" x14ac:dyDescent="0.2">
      <c r="A1254" s="3" t="s">
        <v>38</v>
      </c>
      <c r="B1254" s="39">
        <v>1036</v>
      </c>
      <c r="C1254" s="82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8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8">
        <f>3.1/100000</f>
        <v>3.1000000000000001E-5</v>
      </c>
      <c r="BL1254" s="18">
        <f>1.2/100000</f>
        <v>1.2E-5</v>
      </c>
      <c r="BM1254" s="18">
        <f>6.7/100000</f>
        <v>6.7000000000000002E-5</v>
      </c>
      <c r="BN1254" s="18">
        <f>3.8/100000</f>
        <v>3.7999999999999995E-5</v>
      </c>
      <c r="BO1254" s="18">
        <f>4.1/100000</f>
        <v>4.0999999999999994E-5</v>
      </c>
      <c r="BP1254" s="18">
        <f>2.2/100000</f>
        <v>2.2000000000000003E-5</v>
      </c>
      <c r="BQ1254" s="18">
        <f>4.2/100000</f>
        <v>4.2000000000000004E-5</v>
      </c>
      <c r="BR1254" s="18">
        <f>4.1/100000</f>
        <v>4.0999999999999994E-5</v>
      </c>
      <c r="BS1254" s="18">
        <f>5.1/100000</f>
        <v>5.1E-5</v>
      </c>
      <c r="BT1254" s="18">
        <f>3.9/100000</f>
        <v>3.8999999999999999E-5</v>
      </c>
      <c r="BU1254" s="18">
        <f>4.7/100000</f>
        <v>4.7000000000000004E-5</v>
      </c>
      <c r="BV1254" s="18">
        <f>5.1/100000</f>
        <v>5.1E-5</v>
      </c>
      <c r="BW1254" s="18">
        <f>6.7/100000</f>
        <v>6.7000000000000002E-5</v>
      </c>
      <c r="BX1254" s="18">
        <f>5.8/100000</f>
        <v>5.8E-5</v>
      </c>
      <c r="BY1254" s="18">
        <f>5.2/100000</f>
        <v>5.2000000000000004E-5</v>
      </c>
      <c r="BZ1254" s="18">
        <f>8.2/100000</f>
        <v>8.1999999999999987E-5</v>
      </c>
      <c r="CA1254" s="18">
        <f>8.4/100000</f>
        <v>8.4000000000000009E-5</v>
      </c>
      <c r="CB1254" s="18">
        <f>8.6/100000</f>
        <v>8.599999999999999E-5</v>
      </c>
      <c r="CC1254" s="18">
        <f>6.3/100000</f>
        <v>6.3E-5</v>
      </c>
      <c r="CH1254" s="44"/>
    </row>
    <row r="1255" spans="1:86" x14ac:dyDescent="0.2">
      <c r="A1255" s="3" t="s">
        <v>38</v>
      </c>
      <c r="B1255" s="39">
        <v>1037</v>
      </c>
      <c r="C1255" s="82"/>
      <c r="W1255" s="1"/>
      <c r="X1255" s="1"/>
      <c r="Y1255" s="18">
        <v>4.1999999999999997E-3</v>
      </c>
      <c r="Z1255" s="1"/>
      <c r="AA1255" s="1"/>
      <c r="AB1255" s="1"/>
      <c r="AC1255" s="1"/>
      <c r="AD1255" s="1"/>
      <c r="AE1255" s="1"/>
      <c r="AF1255" s="1"/>
      <c r="AG1255" s="1"/>
      <c r="AH1255" s="1"/>
      <c r="AI1255" s="18">
        <v>3.5000000000000001E-3</v>
      </c>
      <c r="AJ1255" s="1"/>
      <c r="AK1255" s="1"/>
      <c r="AL1255" s="1"/>
      <c r="AM1255" s="1"/>
      <c r="AN1255" s="1"/>
      <c r="AO1255" s="1"/>
      <c r="AP1255" s="1"/>
      <c r="AQ1255" s="1"/>
      <c r="AR1255" s="1"/>
      <c r="AS1255" s="18">
        <v>4.3E-3</v>
      </c>
      <c r="AT1255" s="1"/>
      <c r="AU1255" s="1"/>
      <c r="AV1255" s="1"/>
      <c r="AW1255" s="1"/>
      <c r="AX1255" s="1"/>
      <c r="AY1255" s="1"/>
      <c r="AZ1255" s="1"/>
      <c r="BA1255" s="18"/>
      <c r="BB1255" s="1"/>
      <c r="BC1255" s="18">
        <v>4.1000000000000003E-3</v>
      </c>
      <c r="BD1255" s="1"/>
      <c r="BE1255" s="1"/>
      <c r="BF1255" s="1"/>
      <c r="BG1255" s="1"/>
      <c r="BH1255" s="1"/>
      <c r="BI1255" s="1"/>
      <c r="BJ1255" s="1"/>
      <c r="BK1255" s="18"/>
      <c r="BL1255" s="18"/>
      <c r="BM1255" s="18">
        <v>4.4000000000000003E-3</v>
      </c>
      <c r="BN1255" s="18"/>
      <c r="BO1255" s="18"/>
      <c r="BP1255" s="18"/>
      <c r="BQ1255" s="18"/>
      <c r="BR1255" s="18"/>
      <c r="BS1255" s="18"/>
      <c r="BT1255" s="18"/>
      <c r="BU1255" s="18"/>
      <c r="BV1255" s="18"/>
      <c r="BW1255" s="18">
        <v>6.8999999999999999E-3</v>
      </c>
      <c r="BX1255" s="18"/>
      <c r="BY1255" s="18"/>
      <c r="BZ1255" s="18"/>
      <c r="CA1255" s="18"/>
      <c r="CB1255" s="18"/>
      <c r="CC1255" s="18"/>
      <c r="CD1255" s="18">
        <v>1.15E-2</v>
      </c>
      <c r="CH1255" s="44"/>
    </row>
    <row r="1256" spans="1:86" x14ac:dyDescent="0.2">
      <c r="A1256" s="3" t="s">
        <v>38</v>
      </c>
      <c r="B1256" s="39">
        <v>1038</v>
      </c>
      <c r="C1256" s="82"/>
      <c r="W1256" s="1"/>
      <c r="X1256" s="1"/>
      <c r="Y1256" s="18"/>
      <c r="Z1256" s="1"/>
      <c r="AA1256" s="1"/>
      <c r="AB1256" s="1"/>
      <c r="AC1256" s="1"/>
      <c r="AD1256" s="1"/>
      <c r="AE1256" s="1"/>
      <c r="AF1256" s="1"/>
      <c r="AG1256" s="1"/>
      <c r="AH1256" s="1"/>
      <c r="AI1256" s="18"/>
      <c r="AJ1256" s="18">
        <v>1.4999999999999999E-4</v>
      </c>
      <c r="AK1256" s="1"/>
      <c r="AL1256" s="1"/>
      <c r="AM1256" s="1"/>
      <c r="AN1256" s="1"/>
      <c r="AO1256" s="1"/>
      <c r="AP1256" s="1"/>
      <c r="AQ1256" s="1"/>
      <c r="AR1256" s="1"/>
      <c r="AS1256" s="18"/>
      <c r="AT1256" s="1"/>
      <c r="AU1256" s="1"/>
      <c r="AV1256" s="1"/>
      <c r="AW1256" s="1"/>
      <c r="AX1256" s="1"/>
      <c r="AY1256" s="1"/>
      <c r="AZ1256" s="1"/>
      <c r="BA1256" s="18"/>
      <c r="BB1256" s="1"/>
      <c r="BC1256" s="18"/>
      <c r="BD1256" s="1"/>
      <c r="BE1256" s="1"/>
      <c r="BF1256" s="1"/>
      <c r="BG1256" s="1"/>
      <c r="BH1256" s="1"/>
      <c r="BI1256" s="1"/>
      <c r="BJ1256" s="1"/>
      <c r="BK1256" s="18"/>
      <c r="BL1256" s="18"/>
      <c r="BM1256" s="18"/>
      <c r="BN1256" s="18"/>
      <c r="BO1256" s="18"/>
      <c r="BP1256" s="18"/>
      <c r="BQ1256" s="18"/>
      <c r="BR1256" s="18"/>
      <c r="BS1256" s="18"/>
      <c r="BT1256" s="18"/>
      <c r="BU1256" s="18"/>
      <c r="BV1256" s="18"/>
      <c r="BW1256" s="18"/>
      <c r="BX1256" s="18"/>
      <c r="BY1256" s="18"/>
      <c r="BZ1256" s="18"/>
      <c r="CA1256" s="18"/>
      <c r="CB1256" s="18"/>
      <c r="CC1256" s="18"/>
      <c r="CD1256" s="18"/>
      <c r="CE1256" s="18">
        <v>1.5E-3</v>
      </c>
      <c r="CH1256" s="44"/>
    </row>
    <row r="1257" spans="1:86" x14ac:dyDescent="0.2">
      <c r="A1257" s="3" t="s">
        <v>38</v>
      </c>
      <c r="B1257" s="39">
        <v>1038</v>
      </c>
      <c r="C1257" s="82"/>
      <c r="W1257" s="1"/>
      <c r="X1257" s="1"/>
      <c r="Y1257" s="18"/>
      <c r="Z1257" s="1"/>
      <c r="AA1257" s="1"/>
      <c r="AB1257" s="1"/>
      <c r="AC1257" s="1"/>
      <c r="AD1257" s="1"/>
      <c r="AE1257" s="1"/>
      <c r="AF1257" s="1"/>
      <c r="AG1257" s="1"/>
      <c r="AH1257" s="1"/>
      <c r="AI1257" s="18"/>
      <c r="AJ1257" s="18">
        <v>1.4999999999999999E-4</v>
      </c>
      <c r="AK1257" s="1"/>
      <c r="AL1257" s="1"/>
      <c r="AM1257" s="1"/>
      <c r="AN1257" s="1"/>
      <c r="AO1257" s="1"/>
      <c r="AP1257" s="1"/>
      <c r="AQ1257" s="1"/>
      <c r="AR1257" s="1"/>
      <c r="AS1257" s="18"/>
      <c r="AT1257" s="1"/>
      <c r="AU1257" s="1"/>
      <c r="AV1257" s="1"/>
      <c r="AW1257" s="1"/>
      <c r="AX1257" s="1"/>
      <c r="AY1257" s="1"/>
      <c r="AZ1257" s="1"/>
      <c r="BA1257" s="18"/>
      <c r="BB1257" s="1"/>
      <c r="BC1257" s="18"/>
      <c r="BD1257" s="1"/>
      <c r="BE1257" s="1"/>
      <c r="BF1257" s="1"/>
      <c r="BG1257" s="1"/>
      <c r="BH1257" s="1"/>
      <c r="BI1257" s="1"/>
      <c r="BJ1257" s="1"/>
      <c r="BK1257" s="18"/>
      <c r="BL1257" s="18"/>
      <c r="BM1257" s="18"/>
      <c r="BN1257" s="18"/>
      <c r="BO1257" s="18"/>
      <c r="BP1257" s="18"/>
      <c r="BQ1257" s="18"/>
      <c r="BR1257" s="18"/>
      <c r="BS1257" s="18"/>
      <c r="BT1257" s="18"/>
      <c r="BU1257" s="18"/>
      <c r="BV1257" s="18"/>
      <c r="BW1257" s="18"/>
      <c r="BX1257" s="18"/>
      <c r="BY1257" s="18"/>
      <c r="BZ1257" s="18"/>
      <c r="CA1257" s="18"/>
      <c r="CB1257" s="18"/>
      <c r="CC1257" s="18"/>
      <c r="CD1257" s="18"/>
      <c r="CE1257" s="18">
        <v>5.0000000000000001E-3</v>
      </c>
      <c r="CH1257" s="44"/>
    </row>
    <row r="1258" spans="1:86" x14ac:dyDescent="0.2">
      <c r="A1258" s="3" t="s">
        <v>38</v>
      </c>
      <c r="B1258" s="39">
        <v>1039</v>
      </c>
      <c r="C1258" s="82"/>
      <c r="W1258" s="1"/>
      <c r="X1258" s="1"/>
      <c r="Y1258" s="18"/>
      <c r="Z1258" s="1"/>
      <c r="AA1258" s="1"/>
      <c r="AB1258" s="1"/>
      <c r="AC1258" s="1"/>
      <c r="AD1258" s="1"/>
      <c r="AE1258" s="1"/>
      <c r="AF1258" s="1"/>
      <c r="AG1258" s="1"/>
      <c r="AH1258" s="1"/>
      <c r="AI1258" s="18"/>
      <c r="AJ1258" s="18"/>
      <c r="AK1258" s="1"/>
      <c r="AL1258" s="1"/>
      <c r="AM1258" s="1"/>
      <c r="AN1258" s="1"/>
      <c r="AO1258" s="1"/>
      <c r="AP1258" s="1"/>
      <c r="AQ1258" s="1"/>
      <c r="AR1258" s="1"/>
      <c r="AS1258" s="18"/>
      <c r="AT1258" s="1"/>
      <c r="AU1258" s="1"/>
      <c r="AV1258" s="1"/>
      <c r="AW1258" s="1"/>
      <c r="AX1258" s="1"/>
      <c r="AY1258" s="1"/>
      <c r="AZ1258" s="1"/>
      <c r="BA1258" s="18"/>
      <c r="BB1258" s="1"/>
      <c r="BC1258" s="18"/>
      <c r="BD1258" s="1"/>
      <c r="BE1258" s="1"/>
      <c r="BF1258" s="1"/>
      <c r="BG1258" s="1"/>
      <c r="BH1258" s="1"/>
      <c r="BI1258" s="1"/>
      <c r="BJ1258" s="1"/>
      <c r="BK1258" s="18"/>
      <c r="BL1258" s="18"/>
      <c r="BM1258" s="18"/>
      <c r="BN1258" s="18"/>
      <c r="BO1258" s="18"/>
      <c r="BP1258" s="18"/>
      <c r="BQ1258" s="18"/>
      <c r="BR1258" s="18"/>
      <c r="BS1258" s="18"/>
      <c r="BT1258" s="18"/>
      <c r="BU1258" s="18">
        <f>3.8/100000</f>
        <v>3.7999999999999995E-5</v>
      </c>
      <c r="BV1258" s="18"/>
      <c r="BW1258" s="18"/>
      <c r="BX1258" s="18"/>
      <c r="BY1258" s="18"/>
      <c r="BZ1258" s="18"/>
      <c r="CA1258" s="18"/>
      <c r="CB1258" s="18"/>
      <c r="CC1258" s="18"/>
      <c r="CD1258" s="18">
        <f>7.4/100000</f>
        <v>7.400000000000001E-5</v>
      </c>
      <c r="CE1258" s="18"/>
      <c r="CH1258" s="44"/>
    </row>
    <row r="1259" spans="1:86" ht="17" thickBot="1" x14ac:dyDescent="0.25">
      <c r="A1259" s="33" t="s">
        <v>38</v>
      </c>
      <c r="B1259" s="42">
        <v>1039</v>
      </c>
      <c r="C1259" s="85"/>
      <c r="D1259" s="78"/>
      <c r="E1259" s="78"/>
      <c r="F1259" s="78"/>
      <c r="G1259" s="78"/>
      <c r="H1259" s="78"/>
      <c r="I1259" s="78"/>
      <c r="J1259" s="78"/>
      <c r="K1259" s="78"/>
      <c r="L1259" s="78"/>
      <c r="M1259" s="78"/>
      <c r="N1259" s="78"/>
      <c r="O1259" s="78"/>
      <c r="P1259" s="78"/>
      <c r="Q1259" s="78"/>
      <c r="R1259" s="78"/>
      <c r="S1259" s="78"/>
      <c r="T1259" s="78"/>
      <c r="U1259" s="78"/>
      <c r="V1259" s="78"/>
      <c r="W1259" s="36"/>
      <c r="X1259" s="36"/>
      <c r="Y1259" s="79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79"/>
      <c r="AJ1259" s="79"/>
      <c r="AK1259" s="36"/>
      <c r="AL1259" s="36"/>
      <c r="AM1259" s="36"/>
      <c r="AN1259" s="36"/>
      <c r="AO1259" s="36"/>
      <c r="AP1259" s="36"/>
      <c r="AQ1259" s="36"/>
      <c r="AR1259" s="36"/>
      <c r="AS1259" s="79"/>
      <c r="AT1259" s="36"/>
      <c r="AU1259" s="36"/>
      <c r="AV1259" s="36"/>
      <c r="AW1259" s="36"/>
      <c r="AX1259" s="36"/>
      <c r="AY1259" s="36"/>
      <c r="AZ1259" s="36"/>
      <c r="BA1259" s="79"/>
      <c r="BB1259" s="36"/>
      <c r="BC1259" s="79"/>
      <c r="BD1259" s="36"/>
      <c r="BE1259" s="36"/>
      <c r="BF1259" s="36"/>
      <c r="BG1259" s="36"/>
      <c r="BH1259" s="36"/>
      <c r="BI1259" s="36"/>
      <c r="BJ1259" s="36"/>
      <c r="BK1259" s="79"/>
      <c r="BL1259" s="79"/>
      <c r="BM1259" s="79"/>
      <c r="BN1259" s="79"/>
      <c r="BO1259" s="79"/>
      <c r="BP1259" s="79"/>
      <c r="BQ1259" s="79"/>
      <c r="BR1259" s="79"/>
      <c r="BS1259" s="79"/>
      <c r="BT1259" s="79"/>
      <c r="BU1259" s="79">
        <f>1.6/100000</f>
        <v>1.5999999999999999E-5</v>
      </c>
      <c r="BV1259" s="79"/>
      <c r="BW1259" s="79"/>
      <c r="BX1259" s="79"/>
      <c r="BY1259" s="79"/>
      <c r="BZ1259" s="79"/>
      <c r="CA1259" s="79"/>
      <c r="CB1259" s="79"/>
      <c r="CC1259" s="79"/>
      <c r="CD1259" s="79">
        <f>3.2/100000</f>
        <v>3.1999999999999999E-5</v>
      </c>
      <c r="CE1259" s="79"/>
      <c r="CF1259" s="78"/>
      <c r="CG1259" s="78"/>
      <c r="CH1259" s="80"/>
    </row>
    <row r="1260" spans="1:86" ht="18" thickTop="1" thickBot="1" x14ac:dyDescent="0.25">
      <c r="A1260" s="33" t="s">
        <v>0</v>
      </c>
      <c r="B1260" s="42" t="s">
        <v>2</v>
      </c>
      <c r="C1260" s="85"/>
      <c r="D1260" s="78">
        <v>1941</v>
      </c>
      <c r="E1260" s="78">
        <v>1942</v>
      </c>
      <c r="F1260" s="78">
        <v>1943</v>
      </c>
      <c r="G1260" s="78">
        <v>1944</v>
      </c>
      <c r="H1260" s="78">
        <v>1945</v>
      </c>
      <c r="I1260" s="78">
        <v>1946</v>
      </c>
      <c r="J1260" s="78">
        <v>1947</v>
      </c>
      <c r="K1260" s="78">
        <v>1948</v>
      </c>
      <c r="L1260" s="78">
        <v>1949</v>
      </c>
      <c r="M1260" s="78">
        <v>1950</v>
      </c>
      <c r="N1260" s="78">
        <v>1951</v>
      </c>
      <c r="O1260" s="78">
        <v>1952</v>
      </c>
      <c r="P1260" s="78">
        <v>1953</v>
      </c>
      <c r="Q1260" s="78">
        <v>1954</v>
      </c>
      <c r="R1260" s="78">
        <v>1955</v>
      </c>
      <c r="S1260" s="78">
        <v>1956</v>
      </c>
      <c r="T1260" s="78">
        <v>1957</v>
      </c>
      <c r="U1260" s="78">
        <v>1958</v>
      </c>
      <c r="V1260" s="78">
        <v>1959</v>
      </c>
      <c r="W1260" s="36">
        <v>1960</v>
      </c>
      <c r="X1260" s="36">
        <v>1961</v>
      </c>
      <c r="Y1260" s="79">
        <v>1962</v>
      </c>
      <c r="Z1260" s="36">
        <v>1963</v>
      </c>
      <c r="AA1260" s="36">
        <v>1964</v>
      </c>
      <c r="AB1260" s="36">
        <v>1965</v>
      </c>
      <c r="AC1260" s="36">
        <v>1966</v>
      </c>
      <c r="AD1260" s="36">
        <v>1967</v>
      </c>
      <c r="AE1260" s="36">
        <v>1968</v>
      </c>
      <c r="AF1260" s="36">
        <v>1969</v>
      </c>
      <c r="AG1260" s="36">
        <v>1970</v>
      </c>
      <c r="AH1260" s="36">
        <v>1971</v>
      </c>
      <c r="AI1260" s="79">
        <v>1972</v>
      </c>
      <c r="AJ1260" s="79">
        <v>1973</v>
      </c>
      <c r="AK1260" s="36">
        <v>1974</v>
      </c>
      <c r="AL1260" s="36">
        <v>1975</v>
      </c>
      <c r="AM1260" s="36">
        <v>1976</v>
      </c>
      <c r="AN1260" s="36">
        <v>1977</v>
      </c>
      <c r="AO1260" s="36">
        <v>1978</v>
      </c>
      <c r="AP1260" s="36">
        <v>1979</v>
      </c>
      <c r="AQ1260" s="36">
        <v>1980</v>
      </c>
      <c r="AR1260" s="36">
        <v>1981</v>
      </c>
      <c r="AS1260" s="79">
        <v>1982</v>
      </c>
      <c r="AT1260" s="36">
        <v>1983</v>
      </c>
      <c r="AU1260" s="36">
        <v>1984</v>
      </c>
      <c r="AV1260" s="36">
        <v>1985</v>
      </c>
      <c r="AW1260" s="36">
        <v>1986</v>
      </c>
      <c r="AX1260" s="36">
        <v>1987</v>
      </c>
      <c r="AY1260" s="36">
        <v>1988</v>
      </c>
      <c r="AZ1260" s="36">
        <v>1989</v>
      </c>
      <c r="BA1260" s="79">
        <v>1990</v>
      </c>
      <c r="BB1260" s="36">
        <v>1991</v>
      </c>
      <c r="BC1260" s="79">
        <v>1992</v>
      </c>
      <c r="BD1260" s="36">
        <v>1993</v>
      </c>
      <c r="BE1260" s="36">
        <v>1994</v>
      </c>
      <c r="BF1260" s="36">
        <v>1995</v>
      </c>
      <c r="BG1260" s="36">
        <v>1996</v>
      </c>
      <c r="BH1260" s="36">
        <v>1997</v>
      </c>
      <c r="BI1260" s="36">
        <v>1998</v>
      </c>
      <c r="BJ1260" s="36">
        <v>1999</v>
      </c>
      <c r="BK1260" s="79">
        <v>2000</v>
      </c>
      <c r="BL1260" s="79">
        <v>2001</v>
      </c>
      <c r="BM1260" s="79">
        <v>2002</v>
      </c>
      <c r="BN1260" s="79">
        <v>2003</v>
      </c>
      <c r="BO1260" s="79">
        <v>2004</v>
      </c>
      <c r="BP1260" s="79">
        <v>2005</v>
      </c>
      <c r="BQ1260" s="79">
        <v>2006</v>
      </c>
      <c r="BR1260" s="79">
        <v>2007</v>
      </c>
      <c r="BS1260" s="79">
        <v>2008</v>
      </c>
      <c r="BT1260" s="79">
        <v>2009</v>
      </c>
      <c r="BU1260" s="79">
        <v>2010</v>
      </c>
      <c r="BV1260" s="79">
        <v>2011</v>
      </c>
      <c r="BW1260" s="79">
        <v>2012</v>
      </c>
      <c r="BX1260" s="79">
        <v>2013</v>
      </c>
      <c r="BY1260" s="79">
        <v>2014</v>
      </c>
      <c r="BZ1260" s="79">
        <v>2015</v>
      </c>
      <c r="CA1260" s="79">
        <v>2016</v>
      </c>
      <c r="CB1260" s="79">
        <v>2017</v>
      </c>
      <c r="CC1260" s="79">
        <v>2018</v>
      </c>
      <c r="CD1260" s="79">
        <v>2019</v>
      </c>
      <c r="CE1260" s="79">
        <v>2020</v>
      </c>
      <c r="CF1260" s="78">
        <v>2021</v>
      </c>
      <c r="CG1260" s="78">
        <v>2022</v>
      </c>
      <c r="CH1260" s="80">
        <v>2023</v>
      </c>
    </row>
    <row r="1261" spans="1:86" ht="17" thickTop="1" x14ac:dyDescent="0.2">
      <c r="BP1261"/>
      <c r="BR1261"/>
      <c r="BS1261"/>
    </row>
  </sheetData>
  <pageMargins left="0.7" right="0.7" top="0.75" bottom="0.75" header="0.3" footer="0.3"/>
  <pageSetup paperSize="9" orientation="portrait" horizontalDpi="0" verticalDpi="0"/>
  <ignoredErrors>
    <ignoredError sqref="B345 B7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58DF-129F-C945-8AB2-B370AFEEA904}">
  <sheetPr codeName="Hoja2"/>
  <dimension ref="A1:C2"/>
  <sheetViews>
    <sheetView topLeftCell="B1" workbookViewId="0">
      <selection activeCell="B2" sqref="B2"/>
    </sheetView>
  </sheetViews>
  <sheetFormatPr baseColWidth="10" defaultRowHeight="16" x14ac:dyDescent="0.2"/>
  <cols>
    <col min="1" max="1" width="15.5" bestFit="1" customWidth="1"/>
    <col min="2" max="2" width="255.83203125" bestFit="1" customWidth="1"/>
    <col min="3" max="3" width="17" bestFit="1" customWidth="1"/>
  </cols>
  <sheetData>
    <row r="1" spans="1:3" s="2" customFormat="1" x14ac:dyDescent="0.2">
      <c r="A1" s="2" t="s">
        <v>11</v>
      </c>
      <c r="B1" s="2" t="s">
        <v>12</v>
      </c>
      <c r="C1" s="2" t="s">
        <v>13</v>
      </c>
    </row>
    <row r="2" spans="1:3" x14ac:dyDescent="0.2">
      <c r="A2" s="2" t="s">
        <v>9</v>
      </c>
      <c r="B2" s="2" t="s">
        <v>8</v>
      </c>
      <c r="C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Multiple Selections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 Marsellach</dc:creator>
  <cp:lastModifiedBy>Xavi Marsellach</cp:lastModifiedBy>
  <dcterms:created xsi:type="dcterms:W3CDTF">2024-07-05T19:13:10Z</dcterms:created>
  <dcterms:modified xsi:type="dcterms:W3CDTF">2025-11-12T10:06:15Z</dcterms:modified>
</cp:coreProperties>
</file>